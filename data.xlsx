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■개인폴더\박경태\역사위치안내(github)\"/>
    </mc:Choice>
  </mc:AlternateContent>
  <xr:revisionPtr revIDLastSave="0" documentId="13_ncr:1_{50137A7D-514E-48F0-B5C7-F5F43A0543EA}" xr6:coauthVersionLast="47" xr6:coauthVersionMax="47" xr10:uidLastSave="{00000000-0000-0000-0000-000000000000}"/>
  <bookViews>
    <workbookView xWindow="-120" yWindow="-120" windowWidth="29040" windowHeight="15720" xr2:uid="{21F0DF5A-062E-4FED-9C31-648F525201B8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87" i="1"/>
  <c r="E87" i="1"/>
  <c r="E83" i="1"/>
  <c r="F83" i="1"/>
  <c r="E84" i="1"/>
  <c r="F84" i="1"/>
  <c r="E85" i="1"/>
  <c r="F85" i="1"/>
  <c r="E86" i="1"/>
  <c r="F86" i="1"/>
  <c r="F82" i="1"/>
  <c r="E82" i="1"/>
  <c r="A82" i="1"/>
  <c r="F81" i="1"/>
  <c r="E81" i="1"/>
  <c r="A81" i="1"/>
  <c r="A79" i="1"/>
  <c r="A80" i="1"/>
  <c r="E80" i="1"/>
  <c r="E79" i="1"/>
  <c r="F80" i="1"/>
  <c r="F7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E74" i="1"/>
  <c r="E75" i="1"/>
  <c r="E76" i="1"/>
  <c r="E77" i="1"/>
  <c r="E78" i="1"/>
  <c r="A74" i="1"/>
  <c r="A75" i="1"/>
  <c r="A76" i="1"/>
  <c r="A77" i="1"/>
  <c r="A78" i="1"/>
  <c r="E68" i="1"/>
  <c r="E69" i="1"/>
  <c r="E70" i="1"/>
  <c r="E71" i="1"/>
  <c r="E72" i="1"/>
  <c r="E73" i="1"/>
  <c r="A68" i="1"/>
  <c r="A69" i="1"/>
  <c r="A70" i="1"/>
  <c r="A71" i="1"/>
  <c r="A72" i="1"/>
  <c r="A73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</calcChain>
</file>

<file path=xl/sharedStrings.xml><?xml version="1.0" encoding="utf-8"?>
<sst xmlns="http://schemas.openxmlformats.org/spreadsheetml/2006/main" count="761" uniqueCount="279">
  <si>
    <t>연번</t>
    <phoneticPr fontId="2" type="noConversion"/>
  </si>
  <si>
    <t>역번호</t>
    <phoneticPr fontId="2" type="noConversion"/>
  </si>
  <si>
    <t>종류</t>
    <phoneticPr fontId="2" type="noConversion"/>
  </si>
  <si>
    <t>종류번호</t>
    <phoneticPr fontId="2" type="noConversion"/>
  </si>
  <si>
    <t>코드</t>
    <phoneticPr fontId="2" type="noConversion"/>
  </si>
  <si>
    <t>위치</t>
    <phoneticPr fontId="2" type="noConversion"/>
  </si>
  <si>
    <t>연락처</t>
    <phoneticPr fontId="2" type="noConversion"/>
  </si>
  <si>
    <t>ES</t>
  </si>
  <si>
    <t>032-451-4311</t>
    <phoneticPr fontId="2" type="noConversion"/>
  </si>
  <si>
    <t>EXIT</t>
  </si>
  <si>
    <t>TOILET</t>
  </si>
  <si>
    <t>6M</t>
  </si>
  <si>
    <t>6W</t>
  </si>
  <si>
    <t>5M</t>
  </si>
  <si>
    <t>5W</t>
  </si>
  <si>
    <t>UP</t>
  </si>
  <si>
    <t>FRONT</t>
  </si>
  <si>
    <t>MID</t>
  </si>
  <si>
    <t>REAR</t>
  </si>
  <si>
    <t>DOWN</t>
  </si>
  <si>
    <t>STA</t>
    <phoneticPr fontId="2" type="noConversion"/>
  </si>
  <si>
    <t>211ES001</t>
  </si>
  <si>
    <t>211ES002</t>
  </si>
  <si>
    <t>211ES003</t>
  </si>
  <si>
    <t>211ES004</t>
  </si>
  <si>
    <t>211ES005</t>
  </si>
  <si>
    <t>211ES006</t>
  </si>
  <si>
    <t>211ES007</t>
  </si>
  <si>
    <t>211ES008</t>
  </si>
  <si>
    <t>211ES009</t>
  </si>
  <si>
    <t>211ES010</t>
  </si>
  <si>
    <t>211ES011</t>
  </si>
  <si>
    <t>211ES012</t>
  </si>
  <si>
    <t>211ES013</t>
  </si>
  <si>
    <t>211ES014</t>
  </si>
  <si>
    <t>211ES015</t>
  </si>
  <si>
    <t>211ES016</t>
  </si>
  <si>
    <t>211ES017</t>
  </si>
  <si>
    <t>211ES018</t>
  </si>
  <si>
    <t>211EXIT001</t>
  </si>
  <si>
    <t>211EXIT002</t>
  </si>
  <si>
    <t>211EXIT003</t>
  </si>
  <si>
    <t>211EXIT004</t>
  </si>
  <si>
    <t>211EXIT005</t>
  </si>
  <si>
    <t>211EXIT006</t>
  </si>
  <si>
    <t>211EXIT007</t>
  </si>
  <si>
    <t>211EXIT008</t>
  </si>
  <si>
    <t>211TOILET6M</t>
  </si>
  <si>
    <t>211TOILET6W</t>
  </si>
  <si>
    <t>211TOILET5M</t>
  </si>
  <si>
    <t>211TOILET5W</t>
  </si>
  <si>
    <t>211UPFRONT</t>
  </si>
  <si>
    <t>211UPMID</t>
  </si>
  <si>
    <t>211UPREAR</t>
  </si>
  <si>
    <t>211DOWNFRONT</t>
  </si>
  <si>
    <t>211DOWNMID</t>
  </si>
  <si>
    <t>211DOWNREAR</t>
  </si>
  <si>
    <t>211STA001</t>
  </si>
  <si>
    <t>211STA002</t>
  </si>
  <si>
    <t>에스컬레이터 1호기</t>
  </si>
  <si>
    <t>에스컬레이터 2호기</t>
  </si>
  <si>
    <t>에스컬레이터 3호기</t>
  </si>
  <si>
    <t>에스컬레이터 4호기</t>
  </si>
  <si>
    <t>에스컬레이터 5호기</t>
  </si>
  <si>
    <t>에스컬레이터 6호기</t>
  </si>
  <si>
    <t>에스컬레이터 7호기</t>
  </si>
  <si>
    <t>에스컬레이터 8호기</t>
  </si>
  <si>
    <t>에스컬레이터 9호기</t>
  </si>
  <si>
    <t>에스컬레이터 10호기</t>
  </si>
  <si>
    <t>에스컬레이터 11호기</t>
  </si>
  <si>
    <t>에스컬레이터 12호기</t>
  </si>
  <si>
    <t>에스컬레이터 13호기</t>
  </si>
  <si>
    <t>에스컬레이터 14호기</t>
  </si>
  <si>
    <t>에스컬레이터 15호기</t>
  </si>
  <si>
    <t>에스컬레이터 16호기</t>
  </si>
  <si>
    <t>에스컬레이터 17호기</t>
  </si>
  <si>
    <t>에스컬레이터 18호기</t>
  </si>
  <si>
    <t>엘리베이터 1호기(B1)</t>
  </si>
  <si>
    <t>엘리베이터 2호기(B1)</t>
  </si>
  <si>
    <t>엘리베이터 3호기(B1)</t>
  </si>
  <si>
    <t>엘리베이터 4호기(B1)</t>
  </si>
  <si>
    <t>엘리베이터 5호기</t>
  </si>
  <si>
    <t>엘리베이터 6호기</t>
  </si>
  <si>
    <t>엘리베이터 1호기(B3)</t>
  </si>
  <si>
    <t>엘리베이터 2호기(B3)</t>
  </si>
  <si>
    <t>엘리베이터 3호기(B3)</t>
  </si>
  <si>
    <t>엘리베이터 4호기(B3)</t>
  </si>
  <si>
    <t>1번출구</t>
  </si>
  <si>
    <t>2번출구</t>
  </si>
  <si>
    <t>3번출구</t>
  </si>
  <si>
    <t>4번출구</t>
  </si>
  <si>
    <t>5번출구</t>
  </si>
  <si>
    <t>6번출구</t>
  </si>
  <si>
    <t>7번출구</t>
  </si>
  <si>
    <t>8번출구</t>
  </si>
  <si>
    <t>6번출구 방면 남자화장실</t>
  </si>
  <si>
    <t>6번출구 방면 여자화장실</t>
  </si>
  <si>
    <t>5번출구 방면 남자화장실</t>
  </si>
  <si>
    <t>5번출구 방면 여자화장실</t>
  </si>
  <si>
    <t>상선 전부(검단오류 방면)</t>
  </si>
  <si>
    <t>상선 중앙(검단오류 방면)</t>
  </si>
  <si>
    <t>상선 후부(검단오류 방면)</t>
  </si>
  <si>
    <t>하선 전방(운연 방면)</t>
  </si>
  <si>
    <t>하선 중앙(운연 방면)</t>
  </si>
  <si>
    <t>하선 후부(운연 방면)</t>
  </si>
  <si>
    <t>대합실(1, 6, 7, 8번 출구 방면)</t>
  </si>
  <si>
    <t>대합실(2, 3, 4, 5번 출구 방면)</t>
  </si>
  <si>
    <t>가정역</t>
    <phoneticPr fontId="2" type="noConversion"/>
  </si>
  <si>
    <t>코드</t>
  </si>
  <si>
    <t>역이름</t>
    <phoneticPr fontId="2" type="noConversion"/>
  </si>
  <si>
    <t>구역코드</t>
  </si>
  <si>
    <t>211ZONE08</t>
  </si>
  <si>
    <t>211ZONE14</t>
  </si>
  <si>
    <t>211ZONE07</t>
  </si>
  <si>
    <t>211ZONE12</t>
  </si>
  <si>
    <t>211ZONE09</t>
  </si>
  <si>
    <t>211ZONE11</t>
  </si>
  <si>
    <t>211ZONE02</t>
  </si>
  <si>
    <t>211ZONE05</t>
  </si>
  <si>
    <t>211ZONE01</t>
  </si>
  <si>
    <t>211ZONE13</t>
  </si>
  <si>
    <t>211ZONE10</t>
  </si>
  <si>
    <t>211ZONE03</t>
  </si>
  <si>
    <t>211ZONE06</t>
  </si>
  <si>
    <t>211ZONE04</t>
  </si>
  <si>
    <t>역명</t>
    <phoneticPr fontId="2" type="noConversion"/>
  </si>
  <si>
    <t>검단오류역</t>
    <phoneticPr fontId="2" type="noConversion"/>
  </si>
  <si>
    <t>왕길역</t>
    <phoneticPr fontId="2" type="noConversion"/>
  </si>
  <si>
    <t>검단사거리역</t>
    <phoneticPr fontId="2" type="noConversion"/>
  </si>
  <si>
    <t>마전역</t>
    <phoneticPr fontId="2" type="noConversion"/>
  </si>
  <si>
    <t>완정역</t>
    <phoneticPr fontId="2" type="noConversion"/>
  </si>
  <si>
    <t>독정역</t>
    <phoneticPr fontId="2" type="noConversion"/>
  </si>
  <si>
    <t>검암역</t>
    <phoneticPr fontId="2" type="noConversion"/>
  </si>
  <si>
    <t>검바위역</t>
    <phoneticPr fontId="2" type="noConversion"/>
  </si>
  <si>
    <t>아시아드경기장역</t>
  </si>
  <si>
    <t>아시아드경기장역</t>
    <phoneticPr fontId="2" type="noConversion"/>
  </si>
  <si>
    <t>서해구청역</t>
    <phoneticPr fontId="2" type="noConversion"/>
  </si>
  <si>
    <t>가정역</t>
  </si>
  <si>
    <t>가정중앙시장역</t>
  </si>
  <si>
    <t>가정중앙시장역</t>
    <phoneticPr fontId="2" type="noConversion"/>
  </si>
  <si>
    <t>석남역</t>
    <phoneticPr fontId="2" type="noConversion"/>
  </si>
  <si>
    <t>서부여성회관역</t>
    <phoneticPr fontId="2" type="noConversion"/>
  </si>
  <si>
    <t>인천가좌역</t>
    <phoneticPr fontId="2" type="noConversion"/>
  </si>
  <si>
    <t>가재울역</t>
    <phoneticPr fontId="2" type="noConversion"/>
  </si>
  <si>
    <t>주안국가산단역</t>
    <phoneticPr fontId="2" type="noConversion"/>
  </si>
  <si>
    <t>주안역</t>
    <phoneticPr fontId="2" type="noConversion"/>
  </si>
  <si>
    <t>시민공원역</t>
    <phoneticPr fontId="2" type="noConversion"/>
  </si>
  <si>
    <t>석바위시장역</t>
    <phoneticPr fontId="2" type="noConversion"/>
  </si>
  <si>
    <t>인천시청역</t>
    <phoneticPr fontId="2" type="noConversion"/>
  </si>
  <si>
    <t>석천사거리역</t>
    <phoneticPr fontId="2" type="noConversion"/>
  </si>
  <si>
    <t>모래내시장역</t>
    <phoneticPr fontId="2" type="noConversion"/>
  </si>
  <si>
    <t>만수역</t>
    <phoneticPr fontId="2" type="noConversion"/>
  </si>
  <si>
    <t>남동구청역</t>
    <phoneticPr fontId="2" type="noConversion"/>
  </si>
  <si>
    <t>인천대공원역</t>
    <phoneticPr fontId="2" type="noConversion"/>
  </si>
  <si>
    <t>운연역</t>
    <phoneticPr fontId="2" type="noConversion"/>
  </si>
  <si>
    <t>역명 VLOOKUP용</t>
    <phoneticPr fontId="2" type="noConversion"/>
  </si>
  <si>
    <t>아시아드경기장역 에스컬레이터 1호기</t>
  </si>
  <si>
    <t>아시아드경기장역 에스컬레이터 2호기</t>
  </si>
  <si>
    <t>아시아드경기장역 에스컬레이터 3호기</t>
  </si>
  <si>
    <t>아시아드경기장역 에스컬레이터 4호기</t>
  </si>
  <si>
    <t>아시아드경기장역 에스컬레이터 5호기</t>
  </si>
  <si>
    <t>아시아드경기장역 에스컬레이터 6호기</t>
  </si>
  <si>
    <t>아시아드경기장역 에스컬레이터 7호기</t>
  </si>
  <si>
    <t>아시아드경기장역 에스컬레이터 8호기</t>
  </si>
  <si>
    <t>아시아드경기장역 4번 출구 방면 남자화장실</t>
  </si>
  <si>
    <t>아시아드경기장역 4번 출구 방면 여자화장실</t>
  </si>
  <si>
    <t>아시아드경기장역 엘리베이터 1호기(상선승강장)</t>
  </si>
  <si>
    <t>아시아드경기장역 엘리베이터 2호기(하선승강장)</t>
  </si>
  <si>
    <t>아시아드경기장역 1번 출구</t>
  </si>
  <si>
    <t>아시아드경기장역 2번 출구</t>
  </si>
  <si>
    <t>아시아드경기장역 3번 출구</t>
  </si>
  <si>
    <t>아시아드경기장역 4번 출구</t>
  </si>
  <si>
    <t>211EL001</t>
  </si>
  <si>
    <t>211EL002</t>
  </si>
  <si>
    <t>211EL003</t>
  </si>
  <si>
    <t>211EL004</t>
  </si>
  <si>
    <t>211EL005</t>
  </si>
  <si>
    <t>211EL006</t>
  </si>
  <si>
    <t>211EL007</t>
  </si>
  <si>
    <t>211EL008</t>
  </si>
  <si>
    <t>211EL009</t>
  </si>
  <si>
    <t>211EL010</t>
  </si>
  <si>
    <t>209ES001</t>
  </si>
  <si>
    <t>209ES002</t>
  </si>
  <si>
    <t>209ES003</t>
  </si>
  <si>
    <t>209ES004</t>
  </si>
  <si>
    <t>209ES005</t>
  </si>
  <si>
    <t>209ES006</t>
  </si>
  <si>
    <t>209ES007</t>
  </si>
  <si>
    <t>209ES008</t>
  </si>
  <si>
    <t>209TOILET4M</t>
  </si>
  <si>
    <t>209TOILET4W</t>
  </si>
  <si>
    <t>209EL001</t>
  </si>
  <si>
    <t>209EL002</t>
  </si>
  <si>
    <t>209EL003</t>
  </si>
  <si>
    <t>209EL004</t>
  </si>
  <si>
    <t>209EXIT001</t>
  </si>
  <si>
    <t>209EXIT002</t>
  </si>
  <si>
    <t>209EXIT003</t>
  </si>
  <si>
    <t>209EXIT004</t>
  </si>
  <si>
    <t>아시아드경기장역 엘리베이터 3호기(1, 2번 출구)</t>
  </si>
  <si>
    <t>아시아드경기장역 엘리베이터 3호기(1, 2번 출구)</t>
    <phoneticPr fontId="2" type="noConversion"/>
  </si>
  <si>
    <t>아시아드경기장역 엘리베이터 4호기(3, 4번 출구)</t>
  </si>
  <si>
    <t>아시아드경기장역 엘리베이터 4호기(3, 4번 출구)</t>
    <phoneticPr fontId="2" type="noConversion"/>
  </si>
  <si>
    <t>032-451-4309</t>
  </si>
  <si>
    <t>032-451-4309</t>
    <phoneticPr fontId="2" type="noConversion"/>
  </si>
  <si>
    <t>ES</t>
    <phoneticPr fontId="2" type="noConversion"/>
  </si>
  <si>
    <t>TOILET</t>
    <phoneticPr fontId="2" type="noConversion"/>
  </si>
  <si>
    <t>EL</t>
    <phoneticPr fontId="2" type="noConversion"/>
  </si>
  <si>
    <t>EXIT</t>
    <phoneticPr fontId="2" type="noConversion"/>
  </si>
  <si>
    <t>4M</t>
    <phoneticPr fontId="2" type="noConversion"/>
  </si>
  <si>
    <t>4W</t>
    <phoneticPr fontId="2" type="noConversion"/>
  </si>
  <si>
    <t>가정중앙시장역 에스컬레이터 1호기</t>
  </si>
  <si>
    <t>가정중앙시장역 에스컬레이터 1호기</t>
    <phoneticPr fontId="2" type="noConversion"/>
  </si>
  <si>
    <t>가정중앙시장역 에스컬레이터 2호기</t>
  </si>
  <si>
    <t>가정중앙시장역 에스컬레이터 3호기</t>
  </si>
  <si>
    <t>가정중앙시장역 에스컬레이터 4호기</t>
  </si>
  <si>
    <t>가정중앙시장역 에스컬레이터 5호기</t>
  </si>
  <si>
    <t>가정중앙시장역 에스컬레이터 6호기</t>
  </si>
  <si>
    <t>가정중앙시장역 엘리베이터 1호기</t>
  </si>
  <si>
    <t>가정중앙시장역 엘리베이터 1호기</t>
    <phoneticPr fontId="2" type="noConversion"/>
  </si>
  <si>
    <t>가정중앙시장역 엘리베이터 2호기</t>
  </si>
  <si>
    <t>가정중앙시장역 엘리베이터 3호기</t>
  </si>
  <si>
    <t>가정중앙시장역 엘리베이터 4호기</t>
  </si>
  <si>
    <t>가정중앙시장역 엘리베이터 5호기</t>
  </si>
  <si>
    <t>1M</t>
    <phoneticPr fontId="2" type="noConversion"/>
  </si>
  <si>
    <t>1W</t>
    <phoneticPr fontId="2" type="noConversion"/>
  </si>
  <si>
    <t>가정중앙시장역 남자화장실</t>
  </si>
  <si>
    <t>가정중앙시장역 남자화장실</t>
    <phoneticPr fontId="2" type="noConversion"/>
  </si>
  <si>
    <t>가정중앙시장역 여자화장실</t>
  </si>
  <si>
    <t>가정중앙시장역 여자화장실</t>
    <phoneticPr fontId="2" type="noConversion"/>
  </si>
  <si>
    <t>032-451-4312</t>
  </si>
  <si>
    <t>032-451-4312</t>
    <phoneticPr fontId="2" type="noConversion"/>
  </si>
  <si>
    <t>212ES001</t>
  </si>
  <si>
    <t>212ES002</t>
  </si>
  <si>
    <t>212ES003</t>
  </si>
  <si>
    <t>212ES004</t>
  </si>
  <si>
    <t>212ES005</t>
  </si>
  <si>
    <t>212ES006</t>
  </si>
  <si>
    <t>212EL001</t>
  </si>
  <si>
    <t>212EL002</t>
  </si>
  <si>
    <t>212EL003</t>
  </si>
  <si>
    <t>212EL004</t>
  </si>
  <si>
    <t>212EL005</t>
  </si>
  <si>
    <t>212TOILET1M</t>
  </si>
  <si>
    <t>212TOILET1W</t>
  </si>
  <si>
    <t>가정중앙시장역 1번 출구</t>
  </si>
  <si>
    <t>가정중앙시장역 1번 출구</t>
    <phoneticPr fontId="2" type="noConversion"/>
  </si>
  <si>
    <t>가정중앙시장역 2번 출구</t>
  </si>
  <si>
    <t>212EXIT001</t>
  </si>
  <si>
    <t>212EXIT002</t>
  </si>
  <si>
    <t>032-451-4311</t>
  </si>
  <si>
    <t>209ZONE05</t>
  </si>
  <si>
    <t>209ZONE03</t>
  </si>
  <si>
    <t>209ZONE07</t>
  </si>
  <si>
    <t>209ZONE01</t>
  </si>
  <si>
    <t>209ZONE02</t>
  </si>
  <si>
    <t>209ZONE04</t>
  </si>
  <si>
    <t>209ZONE06</t>
  </si>
  <si>
    <t>212ZONE05</t>
  </si>
  <si>
    <t>212ZONE03</t>
  </si>
  <si>
    <t>212ZONE07</t>
  </si>
  <si>
    <t>212ZONE01</t>
  </si>
  <si>
    <t>212ZONE04</t>
  </si>
  <si>
    <t>212ZONE06</t>
  </si>
  <si>
    <t>212ZONE02</t>
  </si>
  <si>
    <t>2번 출구</t>
    <phoneticPr fontId="2" type="noConversion"/>
  </si>
  <si>
    <t>3번 출구</t>
  </si>
  <si>
    <t>4번 출구</t>
  </si>
  <si>
    <t>1번 출구</t>
    <phoneticPr fontId="2" type="noConversion"/>
  </si>
  <si>
    <t>2번 출구</t>
  </si>
  <si>
    <t>화장실</t>
    <phoneticPr fontId="2" type="noConversion"/>
  </si>
  <si>
    <t>032-451-4310</t>
    <phoneticPr fontId="2" type="noConversion"/>
  </si>
  <si>
    <t>에스컬레이터 1호기</t>
    <phoneticPr fontId="2" type="noConversion"/>
  </si>
  <si>
    <t>엘리베이터 1호기</t>
    <phoneticPr fontId="2" type="noConversion"/>
  </si>
  <si>
    <t>엘리베이터 2호기</t>
  </si>
  <si>
    <t>엘리베이터 3호기</t>
  </si>
  <si>
    <t>엘리베이터 4호기</t>
  </si>
  <si>
    <t>이미지 파일명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</si>
</sst>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3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6557-3AEA-41A3-9863-FC7FAA63B0F4}">
  <dimension ref="A1:U101"/>
  <sheetViews>
    <sheetView tabSelected="1" zoomScale="85" zoomScaleNormal="85" workbookViewId="0"/>
  </sheetViews>
  <sheetFormatPr defaultRowHeight="16.5" x14ac:dyDescent="0.3"/>
  <cols>
    <col min="1" max="1" width="5.25" style="1" bestFit="1" customWidth="1"/>
    <col min="2" max="2" width="7.125" style="1" bestFit="1" customWidth="1"/>
    <col min="3" max="3" width="7.5" style="1" bestFit="1" customWidth="1"/>
    <col min="4" max="4" width="9" style="2" bestFit="1" customWidth="1"/>
    <col min="5" max="5" width="17.25" style="1" bestFit="1" customWidth="1"/>
    <col min="6" max="6" width="17.125" style="2" bestFit="1" customWidth="1"/>
    <col min="7" max="7" width="46" style="1" bestFit="1" customWidth="1"/>
    <col min="8" max="8" width="13.375" style="1" bestFit="1" customWidth="1"/>
    <col min="9" max="9" width="13.75" style="1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2" t="s">
        <v>3</v>
      </c>
      <c r="E1" s="5" t="s">
        <v>125</v>
      </c>
      <c r="F1" s="6" t="s">
        <v>4</v>
      </c>
      <c r="G1" s="5" t="s">
        <v>5</v>
      </c>
      <c r="H1" s="5" t="s">
        <v>6</v>
      </c>
      <c r="I1" s="5" t="s">
        <v>278</v>
      </c>
      <c r="J1" s="1"/>
    </row>
    <row r="2" spans="1:21" x14ac:dyDescent="0.3">
      <c r="A2" s="1">
        <f>ROW()-1</f>
        <v>1</v>
      </c>
      <c r="B2" s="1">
        <v>211</v>
      </c>
      <c r="C2" s="1" t="s">
        <v>7</v>
      </c>
      <c r="D2" s="2">
        <v>1</v>
      </c>
      <c r="E2" s="1" t="str">
        <f>VLOOKUP(B2,Sheet2!$G$2:$H$28,2,FALSE)</f>
        <v>가정역</v>
      </c>
      <c r="F2" s="2" t="str">
        <f>B2&amp;C2&amp;TEXT(D2,"000")</f>
        <v>211ES001</v>
      </c>
      <c r="G2" s="1" t="s">
        <v>59</v>
      </c>
      <c r="H2" s="1" t="s">
        <v>8</v>
      </c>
      <c r="I2" s="1">
        <f>B2</f>
        <v>211</v>
      </c>
      <c r="J2" s="3"/>
    </row>
    <row r="3" spans="1:21" x14ac:dyDescent="0.3">
      <c r="A3" s="1">
        <f t="shared" ref="A3:A66" si="0">ROW()-1</f>
        <v>2</v>
      </c>
      <c r="B3" s="1">
        <v>211</v>
      </c>
      <c r="C3" s="1" t="s">
        <v>7</v>
      </c>
      <c r="D3" s="2">
        <v>2</v>
      </c>
      <c r="E3" s="1" t="str">
        <f>VLOOKUP(B3,Sheet2!$G$2:$H$28,2,FALSE)</f>
        <v>가정역</v>
      </c>
      <c r="F3" s="2" t="str">
        <f>B3&amp;C3&amp;TEXT(D3,"000")</f>
        <v>211ES002</v>
      </c>
      <c r="G3" s="1" t="s">
        <v>60</v>
      </c>
      <c r="H3" s="1" t="s">
        <v>8</v>
      </c>
      <c r="I3" s="8">
        <f t="shared" ref="I3:I66" si="1">B3</f>
        <v>211</v>
      </c>
      <c r="J3" s="3"/>
    </row>
    <row r="4" spans="1:21" x14ac:dyDescent="0.3">
      <c r="A4" s="1">
        <f t="shared" si="0"/>
        <v>3</v>
      </c>
      <c r="B4" s="1">
        <v>211</v>
      </c>
      <c r="C4" s="1" t="s">
        <v>7</v>
      </c>
      <c r="D4" s="2">
        <v>3</v>
      </c>
      <c r="E4" s="1" t="str">
        <f>VLOOKUP(B4,Sheet2!$G$2:$H$28,2,FALSE)</f>
        <v>가정역</v>
      </c>
      <c r="F4" s="2" t="str">
        <f>B4&amp;C4&amp;TEXT(D4,"000")</f>
        <v>211ES003</v>
      </c>
      <c r="G4" s="1" t="s">
        <v>61</v>
      </c>
      <c r="H4" s="1" t="s">
        <v>8</v>
      </c>
      <c r="I4" s="8">
        <f t="shared" si="1"/>
        <v>211</v>
      </c>
      <c r="J4" s="3"/>
    </row>
    <row r="5" spans="1:21" x14ac:dyDescent="0.3">
      <c r="A5" s="1">
        <f t="shared" si="0"/>
        <v>4</v>
      </c>
      <c r="B5" s="1">
        <v>211</v>
      </c>
      <c r="C5" s="1" t="s">
        <v>7</v>
      </c>
      <c r="D5" s="2">
        <v>4</v>
      </c>
      <c r="E5" s="1" t="str">
        <f>VLOOKUP(B5,Sheet2!$G$2:$H$28,2,FALSE)</f>
        <v>가정역</v>
      </c>
      <c r="F5" s="2" t="str">
        <f>B5&amp;C5&amp;TEXT(D5,"000")</f>
        <v>211ES004</v>
      </c>
      <c r="G5" s="1" t="s">
        <v>62</v>
      </c>
      <c r="H5" s="1" t="s">
        <v>8</v>
      </c>
      <c r="I5" s="8">
        <f t="shared" si="1"/>
        <v>211</v>
      </c>
      <c r="J5" s="3"/>
    </row>
    <row r="6" spans="1:21" x14ac:dyDescent="0.3">
      <c r="A6" s="1">
        <f t="shared" si="0"/>
        <v>5</v>
      </c>
      <c r="B6" s="1">
        <v>211</v>
      </c>
      <c r="C6" s="1" t="s">
        <v>7</v>
      </c>
      <c r="D6" s="2">
        <v>5</v>
      </c>
      <c r="E6" s="1" t="str">
        <f>VLOOKUP(B6,Sheet2!$G$2:$H$28,2,FALSE)</f>
        <v>가정역</v>
      </c>
      <c r="F6" s="2" t="str">
        <f>B6&amp;C6&amp;TEXT(D6,"000")</f>
        <v>211ES005</v>
      </c>
      <c r="G6" s="1" t="s">
        <v>63</v>
      </c>
      <c r="H6" s="1" t="s">
        <v>8</v>
      </c>
      <c r="I6" s="8">
        <f t="shared" si="1"/>
        <v>211</v>
      </c>
      <c r="J6" s="3"/>
    </row>
    <row r="7" spans="1:21" x14ac:dyDescent="0.3">
      <c r="A7" s="1">
        <f t="shared" si="0"/>
        <v>6</v>
      </c>
      <c r="B7" s="1">
        <v>211</v>
      </c>
      <c r="C7" s="1" t="s">
        <v>7</v>
      </c>
      <c r="D7" s="2">
        <v>6</v>
      </c>
      <c r="E7" s="1" t="str">
        <f>VLOOKUP(B7,Sheet2!$G$2:$H$28,2,FALSE)</f>
        <v>가정역</v>
      </c>
      <c r="F7" s="2" t="str">
        <f>B7&amp;C7&amp;TEXT(D7,"000")</f>
        <v>211ES006</v>
      </c>
      <c r="G7" s="1" t="s">
        <v>64</v>
      </c>
      <c r="H7" s="1" t="s">
        <v>8</v>
      </c>
      <c r="I7" s="8">
        <f t="shared" si="1"/>
        <v>211</v>
      </c>
      <c r="J7" s="3"/>
      <c r="U7" s="4"/>
    </row>
    <row r="8" spans="1:21" x14ac:dyDescent="0.3">
      <c r="A8" s="1">
        <f t="shared" si="0"/>
        <v>7</v>
      </c>
      <c r="B8" s="1">
        <v>211</v>
      </c>
      <c r="C8" s="1" t="s">
        <v>7</v>
      </c>
      <c r="D8" s="2">
        <v>7</v>
      </c>
      <c r="E8" s="1" t="str">
        <f>VLOOKUP(B8,Sheet2!$G$2:$H$28,2,FALSE)</f>
        <v>가정역</v>
      </c>
      <c r="F8" s="2" t="str">
        <f>B8&amp;C8&amp;TEXT(D8,"000")</f>
        <v>211ES007</v>
      </c>
      <c r="G8" s="1" t="s">
        <v>65</v>
      </c>
      <c r="H8" s="1" t="s">
        <v>8</v>
      </c>
      <c r="I8" s="8">
        <f t="shared" si="1"/>
        <v>211</v>
      </c>
      <c r="J8" s="3"/>
    </row>
    <row r="9" spans="1:21" x14ac:dyDescent="0.3">
      <c r="A9" s="1">
        <f t="shared" si="0"/>
        <v>8</v>
      </c>
      <c r="B9" s="1">
        <v>211</v>
      </c>
      <c r="C9" s="1" t="s">
        <v>7</v>
      </c>
      <c r="D9" s="2">
        <v>8</v>
      </c>
      <c r="E9" s="1" t="str">
        <f>VLOOKUP(B9,Sheet2!$G$2:$H$28,2,FALSE)</f>
        <v>가정역</v>
      </c>
      <c r="F9" s="2" t="str">
        <f>B9&amp;C9&amp;TEXT(D9,"000")</f>
        <v>211ES008</v>
      </c>
      <c r="G9" s="1" t="s">
        <v>66</v>
      </c>
      <c r="H9" s="1" t="s">
        <v>8</v>
      </c>
      <c r="I9" s="8">
        <f t="shared" si="1"/>
        <v>211</v>
      </c>
      <c r="J9" s="3"/>
    </row>
    <row r="10" spans="1:21" x14ac:dyDescent="0.3">
      <c r="A10" s="1">
        <f t="shared" si="0"/>
        <v>9</v>
      </c>
      <c r="B10" s="1">
        <v>211</v>
      </c>
      <c r="C10" s="1" t="s">
        <v>7</v>
      </c>
      <c r="D10" s="2">
        <v>9</v>
      </c>
      <c r="E10" s="1" t="str">
        <f>VLOOKUP(B10,Sheet2!$G$2:$H$28,2,FALSE)</f>
        <v>가정역</v>
      </c>
      <c r="F10" s="2" t="str">
        <f>B10&amp;C10&amp;TEXT(D10,"000")</f>
        <v>211ES009</v>
      </c>
      <c r="G10" s="1" t="s">
        <v>67</v>
      </c>
      <c r="H10" s="1" t="s">
        <v>8</v>
      </c>
      <c r="I10" s="8">
        <f t="shared" si="1"/>
        <v>211</v>
      </c>
      <c r="J10" s="3"/>
    </row>
    <row r="11" spans="1:21" x14ac:dyDescent="0.3">
      <c r="A11" s="1">
        <f t="shared" si="0"/>
        <v>10</v>
      </c>
      <c r="B11" s="1">
        <v>211</v>
      </c>
      <c r="C11" s="1" t="s">
        <v>7</v>
      </c>
      <c r="D11" s="2">
        <v>10</v>
      </c>
      <c r="E11" s="1" t="str">
        <f>VLOOKUP(B11,Sheet2!$G$2:$H$28,2,FALSE)</f>
        <v>가정역</v>
      </c>
      <c r="F11" s="2" t="str">
        <f>B11&amp;C11&amp;TEXT(D11,"000")</f>
        <v>211ES010</v>
      </c>
      <c r="G11" s="1" t="s">
        <v>68</v>
      </c>
      <c r="H11" s="1" t="s">
        <v>8</v>
      </c>
      <c r="I11" s="8">
        <f t="shared" si="1"/>
        <v>211</v>
      </c>
      <c r="J11" s="3"/>
    </row>
    <row r="12" spans="1:21" x14ac:dyDescent="0.3">
      <c r="A12" s="1">
        <f t="shared" si="0"/>
        <v>11</v>
      </c>
      <c r="B12" s="1">
        <v>211</v>
      </c>
      <c r="C12" s="1" t="s">
        <v>7</v>
      </c>
      <c r="D12" s="2">
        <v>11</v>
      </c>
      <c r="E12" s="1" t="str">
        <f>VLOOKUP(B12,Sheet2!$G$2:$H$28,2,FALSE)</f>
        <v>가정역</v>
      </c>
      <c r="F12" s="2" t="str">
        <f>B12&amp;C12&amp;TEXT(D12,"000")</f>
        <v>211ES011</v>
      </c>
      <c r="G12" s="1" t="s">
        <v>69</v>
      </c>
      <c r="H12" s="1" t="s">
        <v>8</v>
      </c>
      <c r="I12" s="8">
        <f t="shared" si="1"/>
        <v>211</v>
      </c>
      <c r="J12" s="3"/>
    </row>
    <row r="13" spans="1:21" x14ac:dyDescent="0.3">
      <c r="A13" s="1">
        <f t="shared" si="0"/>
        <v>12</v>
      </c>
      <c r="B13" s="1">
        <v>211</v>
      </c>
      <c r="C13" s="1" t="s">
        <v>7</v>
      </c>
      <c r="D13" s="2">
        <v>12</v>
      </c>
      <c r="E13" s="1" t="str">
        <f>VLOOKUP(B13,Sheet2!$G$2:$H$28,2,FALSE)</f>
        <v>가정역</v>
      </c>
      <c r="F13" s="2" t="str">
        <f>B13&amp;C13&amp;TEXT(D13,"000")</f>
        <v>211ES012</v>
      </c>
      <c r="G13" s="1" t="s">
        <v>70</v>
      </c>
      <c r="H13" s="1" t="s">
        <v>8</v>
      </c>
      <c r="I13" s="8">
        <f t="shared" si="1"/>
        <v>211</v>
      </c>
      <c r="J13" s="3"/>
    </row>
    <row r="14" spans="1:21" x14ac:dyDescent="0.3">
      <c r="A14" s="1">
        <f t="shared" si="0"/>
        <v>13</v>
      </c>
      <c r="B14" s="1">
        <v>211</v>
      </c>
      <c r="C14" s="1" t="s">
        <v>7</v>
      </c>
      <c r="D14" s="2">
        <v>13</v>
      </c>
      <c r="E14" s="1" t="str">
        <f>VLOOKUP(B14,Sheet2!$G$2:$H$28,2,FALSE)</f>
        <v>가정역</v>
      </c>
      <c r="F14" s="2" t="str">
        <f>B14&amp;C14&amp;TEXT(D14,"000")</f>
        <v>211ES013</v>
      </c>
      <c r="G14" s="1" t="s">
        <v>71</v>
      </c>
      <c r="H14" s="1" t="s">
        <v>8</v>
      </c>
      <c r="I14" s="8">
        <f t="shared" si="1"/>
        <v>211</v>
      </c>
      <c r="J14" s="3"/>
    </row>
    <row r="15" spans="1:21" x14ac:dyDescent="0.3">
      <c r="A15" s="1">
        <f t="shared" si="0"/>
        <v>14</v>
      </c>
      <c r="B15" s="1">
        <v>211</v>
      </c>
      <c r="C15" s="1" t="s">
        <v>7</v>
      </c>
      <c r="D15" s="2">
        <v>14</v>
      </c>
      <c r="E15" s="1" t="str">
        <f>VLOOKUP(B15,Sheet2!$G$2:$H$28,2,FALSE)</f>
        <v>가정역</v>
      </c>
      <c r="F15" s="2" t="str">
        <f>B15&amp;C15&amp;TEXT(D15,"000")</f>
        <v>211ES014</v>
      </c>
      <c r="G15" s="1" t="s">
        <v>72</v>
      </c>
      <c r="H15" s="1" t="s">
        <v>8</v>
      </c>
      <c r="I15" s="8">
        <f t="shared" si="1"/>
        <v>211</v>
      </c>
      <c r="J15" s="3"/>
    </row>
    <row r="16" spans="1:21" x14ac:dyDescent="0.3">
      <c r="A16" s="1">
        <f t="shared" si="0"/>
        <v>15</v>
      </c>
      <c r="B16" s="1">
        <v>211</v>
      </c>
      <c r="C16" s="1" t="s">
        <v>7</v>
      </c>
      <c r="D16" s="2">
        <v>15</v>
      </c>
      <c r="E16" s="1" t="str">
        <f>VLOOKUP(B16,Sheet2!$G$2:$H$28,2,FALSE)</f>
        <v>가정역</v>
      </c>
      <c r="F16" s="2" t="str">
        <f>B16&amp;C16&amp;TEXT(D16,"000")</f>
        <v>211ES015</v>
      </c>
      <c r="G16" s="1" t="s">
        <v>73</v>
      </c>
      <c r="H16" s="1" t="s">
        <v>8</v>
      </c>
      <c r="I16" s="8">
        <f t="shared" si="1"/>
        <v>211</v>
      </c>
      <c r="J16" s="3"/>
    </row>
    <row r="17" spans="1:10" x14ac:dyDescent="0.3">
      <c r="A17" s="1">
        <f t="shared" si="0"/>
        <v>16</v>
      </c>
      <c r="B17" s="1">
        <v>211</v>
      </c>
      <c r="C17" s="1" t="s">
        <v>7</v>
      </c>
      <c r="D17" s="2">
        <v>16</v>
      </c>
      <c r="E17" s="1" t="str">
        <f>VLOOKUP(B17,Sheet2!$G$2:$H$28,2,FALSE)</f>
        <v>가정역</v>
      </c>
      <c r="F17" s="2" t="str">
        <f>B17&amp;C17&amp;TEXT(D17,"000")</f>
        <v>211ES016</v>
      </c>
      <c r="G17" s="1" t="s">
        <v>74</v>
      </c>
      <c r="H17" s="1" t="s">
        <v>8</v>
      </c>
      <c r="I17" s="8">
        <f t="shared" si="1"/>
        <v>211</v>
      </c>
      <c r="J17" s="3"/>
    </row>
    <row r="18" spans="1:10" x14ac:dyDescent="0.3">
      <c r="A18" s="1">
        <f t="shared" si="0"/>
        <v>17</v>
      </c>
      <c r="B18" s="1">
        <v>211</v>
      </c>
      <c r="C18" s="1" t="s">
        <v>7</v>
      </c>
      <c r="D18" s="2">
        <v>17</v>
      </c>
      <c r="E18" s="1" t="str">
        <f>VLOOKUP(B18,Sheet2!$G$2:$H$28,2,FALSE)</f>
        <v>가정역</v>
      </c>
      <c r="F18" s="2" t="str">
        <f>B18&amp;C18&amp;TEXT(D18,"000")</f>
        <v>211ES017</v>
      </c>
      <c r="G18" s="1" t="s">
        <v>75</v>
      </c>
      <c r="H18" s="1" t="s">
        <v>8</v>
      </c>
      <c r="I18" s="8">
        <f t="shared" si="1"/>
        <v>211</v>
      </c>
      <c r="J18" s="3"/>
    </row>
    <row r="19" spans="1:10" x14ac:dyDescent="0.3">
      <c r="A19" s="1">
        <f t="shared" si="0"/>
        <v>18</v>
      </c>
      <c r="B19" s="1">
        <v>211</v>
      </c>
      <c r="C19" s="1" t="s">
        <v>7</v>
      </c>
      <c r="D19" s="2">
        <v>18</v>
      </c>
      <c r="E19" s="1" t="str">
        <f>VLOOKUP(B19,Sheet2!$G$2:$H$28,2,FALSE)</f>
        <v>가정역</v>
      </c>
      <c r="F19" s="2" t="str">
        <f>B19&amp;C19&amp;TEXT(D19,"000")</f>
        <v>211ES018</v>
      </c>
      <c r="G19" s="1" t="s">
        <v>76</v>
      </c>
      <c r="H19" s="1" t="s">
        <v>8</v>
      </c>
      <c r="I19" s="8">
        <f t="shared" si="1"/>
        <v>211</v>
      </c>
      <c r="J19" s="3"/>
    </row>
    <row r="20" spans="1:10" x14ac:dyDescent="0.3">
      <c r="A20" s="1">
        <f t="shared" si="0"/>
        <v>19</v>
      </c>
      <c r="B20" s="1">
        <v>211</v>
      </c>
      <c r="C20" s="1" t="s">
        <v>208</v>
      </c>
      <c r="D20" s="2">
        <v>1</v>
      </c>
      <c r="E20" s="1" t="str">
        <f>VLOOKUP(B20,Sheet2!$G$2:$H$28,2,FALSE)</f>
        <v>가정역</v>
      </c>
      <c r="F20" s="2" t="str">
        <f>B20&amp;C20&amp;TEXT(D20,"000")</f>
        <v>211EL001</v>
      </c>
      <c r="G20" s="1" t="s">
        <v>77</v>
      </c>
      <c r="H20" s="1" t="s">
        <v>8</v>
      </c>
      <c r="I20" s="8">
        <f t="shared" si="1"/>
        <v>211</v>
      </c>
      <c r="J20" s="3"/>
    </row>
    <row r="21" spans="1:10" x14ac:dyDescent="0.3">
      <c r="A21" s="1">
        <f t="shared" si="0"/>
        <v>20</v>
      </c>
      <c r="B21" s="1">
        <v>211</v>
      </c>
      <c r="C21" s="1" t="s">
        <v>208</v>
      </c>
      <c r="D21" s="2">
        <v>2</v>
      </c>
      <c r="E21" s="1" t="str">
        <f>VLOOKUP(B21,Sheet2!$G$2:$H$28,2,FALSE)</f>
        <v>가정역</v>
      </c>
      <c r="F21" s="2" t="str">
        <f>B21&amp;C21&amp;TEXT(D21,"000")</f>
        <v>211EL002</v>
      </c>
      <c r="G21" s="1" t="s">
        <v>78</v>
      </c>
      <c r="H21" s="1" t="s">
        <v>8</v>
      </c>
      <c r="I21" s="8">
        <f t="shared" si="1"/>
        <v>211</v>
      </c>
      <c r="J21" s="3"/>
    </row>
    <row r="22" spans="1:10" x14ac:dyDescent="0.3">
      <c r="A22" s="1">
        <f t="shared" si="0"/>
        <v>21</v>
      </c>
      <c r="B22" s="1">
        <v>211</v>
      </c>
      <c r="C22" s="1" t="s">
        <v>208</v>
      </c>
      <c r="D22" s="2">
        <v>3</v>
      </c>
      <c r="E22" s="1" t="str">
        <f>VLOOKUP(B22,Sheet2!$G$2:$H$28,2,FALSE)</f>
        <v>가정역</v>
      </c>
      <c r="F22" s="2" t="str">
        <f>B22&amp;C22&amp;TEXT(D22,"000")</f>
        <v>211EL003</v>
      </c>
      <c r="G22" s="1" t="s">
        <v>79</v>
      </c>
      <c r="H22" s="1" t="s">
        <v>8</v>
      </c>
      <c r="I22" s="8">
        <f t="shared" si="1"/>
        <v>211</v>
      </c>
      <c r="J22" s="3"/>
    </row>
    <row r="23" spans="1:10" x14ac:dyDescent="0.3">
      <c r="A23" s="1">
        <f t="shared" si="0"/>
        <v>22</v>
      </c>
      <c r="B23" s="1">
        <v>211</v>
      </c>
      <c r="C23" s="1" t="s">
        <v>208</v>
      </c>
      <c r="D23" s="2">
        <v>4</v>
      </c>
      <c r="E23" s="1" t="str">
        <f>VLOOKUP(B23,Sheet2!$G$2:$H$28,2,FALSE)</f>
        <v>가정역</v>
      </c>
      <c r="F23" s="2" t="str">
        <f>B23&amp;C23&amp;TEXT(D23,"000")</f>
        <v>211EL004</v>
      </c>
      <c r="G23" s="1" t="s">
        <v>80</v>
      </c>
      <c r="H23" s="1" t="s">
        <v>8</v>
      </c>
      <c r="I23" s="8">
        <f t="shared" si="1"/>
        <v>211</v>
      </c>
      <c r="J23" s="3"/>
    </row>
    <row r="24" spans="1:10" x14ac:dyDescent="0.3">
      <c r="A24" s="1">
        <f t="shared" si="0"/>
        <v>23</v>
      </c>
      <c r="B24" s="1">
        <v>211</v>
      </c>
      <c r="C24" s="1" t="s">
        <v>208</v>
      </c>
      <c r="D24" s="2">
        <v>5</v>
      </c>
      <c r="E24" s="1" t="str">
        <f>VLOOKUP(B24,Sheet2!$G$2:$H$28,2,FALSE)</f>
        <v>가정역</v>
      </c>
      <c r="F24" s="2" t="str">
        <f>B24&amp;C24&amp;TEXT(D24,"000")</f>
        <v>211EL005</v>
      </c>
      <c r="G24" s="1" t="s">
        <v>81</v>
      </c>
      <c r="H24" s="1" t="s">
        <v>8</v>
      </c>
      <c r="I24" s="8">
        <f t="shared" si="1"/>
        <v>211</v>
      </c>
      <c r="J24" s="3"/>
    </row>
    <row r="25" spans="1:10" x14ac:dyDescent="0.3">
      <c r="A25" s="1">
        <f t="shared" si="0"/>
        <v>24</v>
      </c>
      <c r="B25" s="1">
        <v>211</v>
      </c>
      <c r="C25" s="1" t="s">
        <v>208</v>
      </c>
      <c r="D25" s="2">
        <v>6</v>
      </c>
      <c r="E25" s="1" t="str">
        <f>VLOOKUP(B25,Sheet2!$G$2:$H$28,2,FALSE)</f>
        <v>가정역</v>
      </c>
      <c r="F25" s="2" t="str">
        <f>B25&amp;C25&amp;TEXT(D25,"000")</f>
        <v>211EL006</v>
      </c>
      <c r="G25" s="1" t="s">
        <v>82</v>
      </c>
      <c r="H25" s="1" t="s">
        <v>8</v>
      </c>
      <c r="I25" s="8">
        <f t="shared" si="1"/>
        <v>211</v>
      </c>
      <c r="J25" s="3"/>
    </row>
    <row r="26" spans="1:10" x14ac:dyDescent="0.3">
      <c r="A26" s="1">
        <f t="shared" si="0"/>
        <v>25</v>
      </c>
      <c r="B26" s="1">
        <v>211</v>
      </c>
      <c r="C26" s="1" t="s">
        <v>208</v>
      </c>
      <c r="D26" s="2">
        <v>7</v>
      </c>
      <c r="E26" s="1" t="str">
        <f>VLOOKUP(B26,Sheet2!$G$2:$H$28,2,FALSE)</f>
        <v>가정역</v>
      </c>
      <c r="F26" s="2" t="str">
        <f>B26&amp;C26&amp;TEXT(D26,"000")</f>
        <v>211EL007</v>
      </c>
      <c r="G26" s="1" t="s">
        <v>83</v>
      </c>
      <c r="H26" s="1" t="s">
        <v>8</v>
      </c>
      <c r="I26" s="8">
        <f t="shared" si="1"/>
        <v>211</v>
      </c>
      <c r="J26" s="3"/>
    </row>
    <row r="27" spans="1:10" x14ac:dyDescent="0.3">
      <c r="A27" s="1">
        <f t="shared" si="0"/>
        <v>26</v>
      </c>
      <c r="B27" s="1">
        <v>211</v>
      </c>
      <c r="C27" s="1" t="s">
        <v>208</v>
      </c>
      <c r="D27" s="2">
        <v>8</v>
      </c>
      <c r="E27" s="1" t="str">
        <f>VLOOKUP(B27,Sheet2!$G$2:$H$28,2,FALSE)</f>
        <v>가정역</v>
      </c>
      <c r="F27" s="2" t="str">
        <f>B27&amp;C27&amp;TEXT(D27,"000")</f>
        <v>211EL008</v>
      </c>
      <c r="G27" s="1" t="s">
        <v>84</v>
      </c>
      <c r="H27" s="1" t="s">
        <v>8</v>
      </c>
      <c r="I27" s="8">
        <f t="shared" si="1"/>
        <v>211</v>
      </c>
      <c r="J27" s="3"/>
    </row>
    <row r="28" spans="1:10" x14ac:dyDescent="0.3">
      <c r="A28" s="1">
        <f t="shared" si="0"/>
        <v>27</v>
      </c>
      <c r="B28" s="1">
        <v>211</v>
      </c>
      <c r="C28" s="1" t="s">
        <v>208</v>
      </c>
      <c r="D28" s="2">
        <v>9</v>
      </c>
      <c r="E28" s="1" t="str">
        <f>VLOOKUP(B28,Sheet2!$G$2:$H$28,2,FALSE)</f>
        <v>가정역</v>
      </c>
      <c r="F28" s="2" t="str">
        <f>B28&amp;C28&amp;TEXT(D28,"000")</f>
        <v>211EL009</v>
      </c>
      <c r="G28" s="1" t="s">
        <v>85</v>
      </c>
      <c r="H28" s="1" t="s">
        <v>8</v>
      </c>
      <c r="I28" s="8">
        <f t="shared" si="1"/>
        <v>211</v>
      </c>
      <c r="J28" s="3"/>
    </row>
    <row r="29" spans="1:10" x14ac:dyDescent="0.3">
      <c r="A29" s="1">
        <f t="shared" si="0"/>
        <v>28</v>
      </c>
      <c r="B29" s="1">
        <v>211</v>
      </c>
      <c r="C29" s="1" t="s">
        <v>208</v>
      </c>
      <c r="D29" s="2">
        <v>10</v>
      </c>
      <c r="E29" s="1" t="str">
        <f>VLOOKUP(B29,Sheet2!$G$2:$H$28,2,FALSE)</f>
        <v>가정역</v>
      </c>
      <c r="F29" s="2" t="str">
        <f>B29&amp;C29&amp;TEXT(D29,"000")</f>
        <v>211EL010</v>
      </c>
      <c r="G29" s="1" t="s">
        <v>86</v>
      </c>
      <c r="H29" s="1" t="s">
        <v>8</v>
      </c>
      <c r="I29" s="8">
        <f t="shared" si="1"/>
        <v>211</v>
      </c>
      <c r="J29" s="3"/>
    </row>
    <row r="30" spans="1:10" x14ac:dyDescent="0.3">
      <c r="A30" s="1">
        <f t="shared" si="0"/>
        <v>29</v>
      </c>
      <c r="B30" s="1">
        <v>211</v>
      </c>
      <c r="C30" s="1" t="s">
        <v>9</v>
      </c>
      <c r="D30" s="2">
        <v>1</v>
      </c>
      <c r="E30" s="1" t="str">
        <f>VLOOKUP(B30,Sheet2!$G$2:$H$28,2,FALSE)</f>
        <v>가정역</v>
      </c>
      <c r="F30" s="2" t="str">
        <f>B30&amp;C30&amp;TEXT(D30,"000")</f>
        <v>211EXIT001</v>
      </c>
      <c r="G30" s="1" t="s">
        <v>87</v>
      </c>
      <c r="H30" s="1" t="s">
        <v>8</v>
      </c>
      <c r="I30" s="8">
        <f t="shared" si="1"/>
        <v>211</v>
      </c>
      <c r="J30" s="3"/>
    </row>
    <row r="31" spans="1:10" x14ac:dyDescent="0.3">
      <c r="A31" s="1">
        <f t="shared" si="0"/>
        <v>30</v>
      </c>
      <c r="B31" s="1">
        <v>211</v>
      </c>
      <c r="C31" s="1" t="s">
        <v>9</v>
      </c>
      <c r="D31" s="2">
        <v>2</v>
      </c>
      <c r="E31" s="1" t="str">
        <f>VLOOKUP(B31,Sheet2!$G$2:$H$28,2,FALSE)</f>
        <v>가정역</v>
      </c>
      <c r="F31" s="2" t="str">
        <f>B31&amp;C31&amp;TEXT(D31,"000")</f>
        <v>211EXIT002</v>
      </c>
      <c r="G31" s="1" t="s">
        <v>88</v>
      </c>
      <c r="H31" s="1" t="s">
        <v>8</v>
      </c>
      <c r="I31" s="8">
        <f t="shared" si="1"/>
        <v>211</v>
      </c>
      <c r="J31" s="3"/>
    </row>
    <row r="32" spans="1:10" x14ac:dyDescent="0.3">
      <c r="A32" s="1">
        <f t="shared" si="0"/>
        <v>31</v>
      </c>
      <c r="B32" s="1">
        <v>211</v>
      </c>
      <c r="C32" s="1" t="s">
        <v>9</v>
      </c>
      <c r="D32" s="2">
        <v>3</v>
      </c>
      <c r="E32" s="1" t="str">
        <f>VLOOKUP(B32,Sheet2!$G$2:$H$28,2,FALSE)</f>
        <v>가정역</v>
      </c>
      <c r="F32" s="2" t="str">
        <f>B32&amp;C32&amp;TEXT(D32,"000")</f>
        <v>211EXIT003</v>
      </c>
      <c r="G32" s="1" t="s">
        <v>89</v>
      </c>
      <c r="H32" s="1" t="s">
        <v>8</v>
      </c>
      <c r="I32" s="8">
        <f t="shared" si="1"/>
        <v>211</v>
      </c>
      <c r="J32" s="3"/>
    </row>
    <row r="33" spans="1:10" x14ac:dyDescent="0.3">
      <c r="A33" s="1">
        <f t="shared" si="0"/>
        <v>32</v>
      </c>
      <c r="B33" s="1">
        <v>211</v>
      </c>
      <c r="C33" s="1" t="s">
        <v>9</v>
      </c>
      <c r="D33" s="2">
        <v>4</v>
      </c>
      <c r="E33" s="1" t="str">
        <f>VLOOKUP(B33,Sheet2!$G$2:$H$28,2,FALSE)</f>
        <v>가정역</v>
      </c>
      <c r="F33" s="2" t="str">
        <f>B33&amp;C33&amp;TEXT(D33,"000")</f>
        <v>211EXIT004</v>
      </c>
      <c r="G33" s="1" t="s">
        <v>90</v>
      </c>
      <c r="H33" s="1" t="s">
        <v>8</v>
      </c>
      <c r="I33" s="8">
        <f t="shared" si="1"/>
        <v>211</v>
      </c>
      <c r="J33" s="3"/>
    </row>
    <row r="34" spans="1:10" x14ac:dyDescent="0.3">
      <c r="A34" s="1">
        <f t="shared" si="0"/>
        <v>33</v>
      </c>
      <c r="B34" s="1">
        <v>211</v>
      </c>
      <c r="C34" s="1" t="s">
        <v>9</v>
      </c>
      <c r="D34" s="2">
        <v>5</v>
      </c>
      <c r="E34" s="1" t="str">
        <f>VLOOKUP(B34,Sheet2!$G$2:$H$28,2,FALSE)</f>
        <v>가정역</v>
      </c>
      <c r="F34" s="2" t="str">
        <f>B34&amp;C34&amp;TEXT(D34,"000")</f>
        <v>211EXIT005</v>
      </c>
      <c r="G34" s="1" t="s">
        <v>91</v>
      </c>
      <c r="H34" s="1" t="s">
        <v>8</v>
      </c>
      <c r="I34" s="8">
        <f t="shared" si="1"/>
        <v>211</v>
      </c>
      <c r="J34" s="3"/>
    </row>
    <row r="35" spans="1:10" x14ac:dyDescent="0.3">
      <c r="A35" s="1">
        <f t="shared" si="0"/>
        <v>34</v>
      </c>
      <c r="B35" s="1">
        <v>211</v>
      </c>
      <c r="C35" s="1" t="s">
        <v>9</v>
      </c>
      <c r="D35" s="2">
        <v>6</v>
      </c>
      <c r="E35" s="1" t="str">
        <f>VLOOKUP(B35,Sheet2!$G$2:$H$28,2,FALSE)</f>
        <v>가정역</v>
      </c>
      <c r="F35" s="2" t="str">
        <f>B35&amp;C35&amp;TEXT(D35,"000")</f>
        <v>211EXIT006</v>
      </c>
      <c r="G35" s="1" t="s">
        <v>92</v>
      </c>
      <c r="H35" s="1" t="s">
        <v>8</v>
      </c>
      <c r="I35" s="8">
        <f t="shared" si="1"/>
        <v>211</v>
      </c>
      <c r="J35" s="3"/>
    </row>
    <row r="36" spans="1:10" x14ac:dyDescent="0.3">
      <c r="A36" s="1">
        <f t="shared" si="0"/>
        <v>35</v>
      </c>
      <c r="B36" s="1">
        <v>211</v>
      </c>
      <c r="C36" s="1" t="s">
        <v>9</v>
      </c>
      <c r="D36" s="2">
        <v>7</v>
      </c>
      <c r="E36" s="1" t="str">
        <f>VLOOKUP(B36,Sheet2!$G$2:$H$28,2,FALSE)</f>
        <v>가정역</v>
      </c>
      <c r="F36" s="2" t="str">
        <f>B36&amp;C36&amp;TEXT(D36,"000")</f>
        <v>211EXIT007</v>
      </c>
      <c r="G36" s="1" t="s">
        <v>93</v>
      </c>
      <c r="H36" s="1" t="s">
        <v>8</v>
      </c>
      <c r="I36" s="8">
        <f t="shared" si="1"/>
        <v>211</v>
      </c>
      <c r="J36" s="3"/>
    </row>
    <row r="37" spans="1:10" x14ac:dyDescent="0.3">
      <c r="A37" s="1">
        <f t="shared" si="0"/>
        <v>36</v>
      </c>
      <c r="B37" s="1">
        <v>211</v>
      </c>
      <c r="C37" s="1" t="s">
        <v>9</v>
      </c>
      <c r="D37" s="2">
        <v>8</v>
      </c>
      <c r="E37" s="1" t="str">
        <f>VLOOKUP(B37,Sheet2!$G$2:$H$28,2,FALSE)</f>
        <v>가정역</v>
      </c>
      <c r="F37" s="2" t="str">
        <f>B37&amp;C37&amp;TEXT(D37,"000")</f>
        <v>211EXIT008</v>
      </c>
      <c r="G37" s="1" t="s">
        <v>94</v>
      </c>
      <c r="H37" s="1" t="s">
        <v>8</v>
      </c>
      <c r="I37" s="8">
        <f t="shared" si="1"/>
        <v>211</v>
      </c>
      <c r="J37" s="3"/>
    </row>
    <row r="38" spans="1:10" x14ac:dyDescent="0.3">
      <c r="A38" s="1">
        <f t="shared" si="0"/>
        <v>37</v>
      </c>
      <c r="B38" s="1">
        <v>211</v>
      </c>
      <c r="C38" s="1" t="s">
        <v>10</v>
      </c>
      <c r="D38" s="2" t="s">
        <v>11</v>
      </c>
      <c r="E38" s="1" t="str">
        <f>VLOOKUP(B38,Sheet2!$G$2:$H$28,2,FALSE)</f>
        <v>가정역</v>
      </c>
      <c r="F38" s="2" t="str">
        <f>B38&amp;C38&amp;TEXT(D38,"000")</f>
        <v>211TOILET6M</v>
      </c>
      <c r="G38" s="1" t="s">
        <v>95</v>
      </c>
      <c r="H38" s="1" t="s">
        <v>8</v>
      </c>
      <c r="I38" s="8">
        <f t="shared" si="1"/>
        <v>211</v>
      </c>
      <c r="J38" s="3"/>
    </row>
    <row r="39" spans="1:10" x14ac:dyDescent="0.3">
      <c r="A39" s="1">
        <f t="shared" si="0"/>
        <v>38</v>
      </c>
      <c r="B39" s="1">
        <v>211</v>
      </c>
      <c r="C39" s="1" t="s">
        <v>10</v>
      </c>
      <c r="D39" s="2" t="s">
        <v>12</v>
      </c>
      <c r="E39" s="1" t="str">
        <f>VLOOKUP(B39,Sheet2!$G$2:$H$28,2,FALSE)</f>
        <v>가정역</v>
      </c>
      <c r="F39" s="2" t="str">
        <f>B39&amp;C39&amp;TEXT(D39,"000")</f>
        <v>211TOILET6W</v>
      </c>
      <c r="G39" s="1" t="s">
        <v>96</v>
      </c>
      <c r="H39" s="1" t="s">
        <v>8</v>
      </c>
      <c r="I39" s="8">
        <f t="shared" si="1"/>
        <v>211</v>
      </c>
      <c r="J39" s="3"/>
    </row>
    <row r="40" spans="1:10" x14ac:dyDescent="0.3">
      <c r="A40" s="1">
        <f t="shared" si="0"/>
        <v>39</v>
      </c>
      <c r="B40" s="1">
        <v>211</v>
      </c>
      <c r="C40" s="1" t="s">
        <v>10</v>
      </c>
      <c r="D40" s="2" t="s">
        <v>13</v>
      </c>
      <c r="E40" s="1" t="str">
        <f>VLOOKUP(B40,Sheet2!$G$2:$H$28,2,FALSE)</f>
        <v>가정역</v>
      </c>
      <c r="F40" s="2" t="str">
        <f>B40&amp;C40&amp;TEXT(D40,"000")</f>
        <v>211TOILET5M</v>
      </c>
      <c r="G40" s="1" t="s">
        <v>97</v>
      </c>
      <c r="H40" s="1" t="s">
        <v>8</v>
      </c>
      <c r="I40" s="8">
        <f t="shared" si="1"/>
        <v>211</v>
      </c>
      <c r="J40" s="3"/>
    </row>
    <row r="41" spans="1:10" x14ac:dyDescent="0.3">
      <c r="A41" s="1">
        <f t="shared" si="0"/>
        <v>40</v>
      </c>
      <c r="B41" s="1">
        <v>211</v>
      </c>
      <c r="C41" s="1" t="s">
        <v>10</v>
      </c>
      <c r="D41" s="2" t="s">
        <v>14</v>
      </c>
      <c r="E41" s="1" t="str">
        <f>VLOOKUP(B41,Sheet2!$G$2:$H$28,2,FALSE)</f>
        <v>가정역</v>
      </c>
      <c r="F41" s="2" t="str">
        <f>B41&amp;C41&amp;TEXT(D41,"000")</f>
        <v>211TOILET5W</v>
      </c>
      <c r="G41" s="1" t="s">
        <v>98</v>
      </c>
      <c r="H41" s="1" t="s">
        <v>8</v>
      </c>
      <c r="I41" s="8">
        <f t="shared" si="1"/>
        <v>211</v>
      </c>
      <c r="J41" s="3"/>
    </row>
    <row r="42" spans="1:10" x14ac:dyDescent="0.3">
      <c r="A42" s="1">
        <f t="shared" si="0"/>
        <v>41</v>
      </c>
      <c r="B42" s="1">
        <v>211</v>
      </c>
      <c r="C42" s="1" t="s">
        <v>15</v>
      </c>
      <c r="D42" s="2" t="s">
        <v>16</v>
      </c>
      <c r="E42" s="1" t="str">
        <f>VLOOKUP(B42,Sheet2!$G$2:$H$28,2,FALSE)</f>
        <v>가정역</v>
      </c>
      <c r="F42" s="2" t="str">
        <f>B42&amp;C42&amp;TEXT(D42,"000")</f>
        <v>211UPFRONT</v>
      </c>
      <c r="G42" s="1" t="s">
        <v>99</v>
      </c>
      <c r="H42" s="1" t="s">
        <v>8</v>
      </c>
      <c r="I42" s="8">
        <f t="shared" si="1"/>
        <v>211</v>
      </c>
      <c r="J42" s="3"/>
    </row>
    <row r="43" spans="1:10" x14ac:dyDescent="0.3">
      <c r="A43" s="1">
        <f t="shared" si="0"/>
        <v>42</v>
      </c>
      <c r="B43" s="1">
        <v>211</v>
      </c>
      <c r="C43" s="1" t="s">
        <v>15</v>
      </c>
      <c r="D43" s="2" t="s">
        <v>17</v>
      </c>
      <c r="E43" s="1" t="str">
        <f>VLOOKUP(B43,Sheet2!$G$2:$H$28,2,FALSE)</f>
        <v>가정역</v>
      </c>
      <c r="F43" s="2" t="str">
        <f>B43&amp;C43&amp;TEXT(D43,"000")</f>
        <v>211UPMID</v>
      </c>
      <c r="G43" s="1" t="s">
        <v>100</v>
      </c>
      <c r="H43" s="1" t="s">
        <v>8</v>
      </c>
      <c r="I43" s="8">
        <f t="shared" si="1"/>
        <v>211</v>
      </c>
      <c r="J43" s="3"/>
    </row>
    <row r="44" spans="1:10" x14ac:dyDescent="0.3">
      <c r="A44" s="1">
        <f t="shared" si="0"/>
        <v>43</v>
      </c>
      <c r="B44" s="1">
        <v>211</v>
      </c>
      <c r="C44" s="1" t="s">
        <v>15</v>
      </c>
      <c r="D44" s="2" t="s">
        <v>18</v>
      </c>
      <c r="E44" s="1" t="str">
        <f>VLOOKUP(B44,Sheet2!$G$2:$H$28,2,FALSE)</f>
        <v>가정역</v>
      </c>
      <c r="F44" s="2" t="str">
        <f>B44&amp;C44&amp;TEXT(D44,"000")</f>
        <v>211UPREAR</v>
      </c>
      <c r="G44" s="1" t="s">
        <v>101</v>
      </c>
      <c r="H44" s="1" t="s">
        <v>8</v>
      </c>
      <c r="I44" s="8">
        <f t="shared" si="1"/>
        <v>211</v>
      </c>
      <c r="J44" s="3"/>
    </row>
    <row r="45" spans="1:10" x14ac:dyDescent="0.3">
      <c r="A45" s="1">
        <f t="shared" si="0"/>
        <v>44</v>
      </c>
      <c r="B45" s="1">
        <v>211</v>
      </c>
      <c r="C45" s="1" t="s">
        <v>19</v>
      </c>
      <c r="D45" s="2" t="s">
        <v>16</v>
      </c>
      <c r="E45" s="1" t="str">
        <f>VLOOKUP(B45,Sheet2!$G$2:$H$28,2,FALSE)</f>
        <v>가정역</v>
      </c>
      <c r="F45" s="2" t="str">
        <f>B45&amp;C45&amp;TEXT(D45,"000")</f>
        <v>211DOWNFRONT</v>
      </c>
      <c r="G45" s="1" t="s">
        <v>102</v>
      </c>
      <c r="H45" s="1" t="s">
        <v>8</v>
      </c>
      <c r="I45" s="8">
        <f t="shared" si="1"/>
        <v>211</v>
      </c>
      <c r="J45" s="3"/>
    </row>
    <row r="46" spans="1:10" x14ac:dyDescent="0.3">
      <c r="A46" s="1">
        <f t="shared" si="0"/>
        <v>45</v>
      </c>
      <c r="B46" s="1">
        <v>211</v>
      </c>
      <c r="C46" s="1" t="s">
        <v>19</v>
      </c>
      <c r="D46" s="2" t="s">
        <v>17</v>
      </c>
      <c r="E46" s="1" t="str">
        <f>VLOOKUP(B46,Sheet2!$G$2:$H$28,2,FALSE)</f>
        <v>가정역</v>
      </c>
      <c r="F46" s="2" t="str">
        <f>B46&amp;C46&amp;TEXT(D46,"000")</f>
        <v>211DOWNMID</v>
      </c>
      <c r="G46" s="1" t="s">
        <v>103</v>
      </c>
      <c r="H46" s="1" t="s">
        <v>8</v>
      </c>
      <c r="I46" s="8">
        <f t="shared" si="1"/>
        <v>211</v>
      </c>
      <c r="J46" s="3"/>
    </row>
    <row r="47" spans="1:10" x14ac:dyDescent="0.3">
      <c r="A47" s="1">
        <f t="shared" si="0"/>
        <v>46</v>
      </c>
      <c r="B47" s="1">
        <v>211</v>
      </c>
      <c r="C47" s="1" t="s">
        <v>19</v>
      </c>
      <c r="D47" s="2" t="s">
        <v>18</v>
      </c>
      <c r="E47" s="1" t="str">
        <f>VLOOKUP(B47,Sheet2!$G$2:$H$28,2,FALSE)</f>
        <v>가정역</v>
      </c>
      <c r="F47" s="2" t="str">
        <f>B47&amp;C47&amp;TEXT(D47,"000")</f>
        <v>211DOWNREAR</v>
      </c>
      <c r="G47" s="1" t="s">
        <v>104</v>
      </c>
      <c r="H47" s="1" t="s">
        <v>8</v>
      </c>
      <c r="I47" s="8">
        <f t="shared" si="1"/>
        <v>211</v>
      </c>
      <c r="J47" s="3"/>
    </row>
    <row r="48" spans="1:10" x14ac:dyDescent="0.3">
      <c r="A48" s="1">
        <f t="shared" si="0"/>
        <v>47</v>
      </c>
      <c r="B48" s="1">
        <v>211</v>
      </c>
      <c r="C48" s="1" t="s">
        <v>20</v>
      </c>
      <c r="D48" s="2">
        <v>1</v>
      </c>
      <c r="E48" s="1" t="str">
        <f>VLOOKUP(B48,Sheet2!$G$2:$H$28,2,FALSE)</f>
        <v>가정역</v>
      </c>
      <c r="F48" s="2" t="str">
        <f>B48&amp;C48&amp;TEXT(D48,"000")</f>
        <v>211STA001</v>
      </c>
      <c r="G48" s="1" t="s">
        <v>105</v>
      </c>
      <c r="H48" s="1" t="s">
        <v>8</v>
      </c>
      <c r="I48" s="8">
        <f t="shared" si="1"/>
        <v>211</v>
      </c>
      <c r="J48" s="3"/>
    </row>
    <row r="49" spans="1:10" x14ac:dyDescent="0.3">
      <c r="A49" s="1">
        <f t="shared" si="0"/>
        <v>48</v>
      </c>
      <c r="B49" s="1">
        <v>211</v>
      </c>
      <c r="C49" s="1" t="s">
        <v>20</v>
      </c>
      <c r="D49" s="2">
        <v>2</v>
      </c>
      <c r="E49" s="1" t="str">
        <f>VLOOKUP(B49,Sheet2!$G$2:$H$28,2,FALSE)</f>
        <v>가정역</v>
      </c>
      <c r="F49" s="2" t="str">
        <f>B49&amp;C49&amp;TEXT(D49,"000")</f>
        <v>211STA002</v>
      </c>
      <c r="G49" s="1" t="s">
        <v>106</v>
      </c>
      <c r="H49" s="1" t="s">
        <v>8</v>
      </c>
      <c r="I49" s="8">
        <f t="shared" si="1"/>
        <v>211</v>
      </c>
      <c r="J49" s="3"/>
    </row>
    <row r="50" spans="1:10" x14ac:dyDescent="0.3">
      <c r="A50" s="1">
        <f>ROW()-1</f>
        <v>49</v>
      </c>
      <c r="B50" s="1">
        <v>209</v>
      </c>
      <c r="C50" s="1" t="s">
        <v>206</v>
      </c>
      <c r="D50" s="2">
        <v>1</v>
      </c>
      <c r="E50" s="1" t="str">
        <f>VLOOKUP(B50,Sheet2!$G$2:$H$28,2,FALSE)</f>
        <v>아시아드경기장역</v>
      </c>
      <c r="F50" s="2" t="str">
        <f>B50&amp;C50&amp;TEXT(D50,"000")</f>
        <v>209ES001</v>
      </c>
      <c r="G50" s="1" t="s">
        <v>156</v>
      </c>
      <c r="H50" s="1" t="s">
        <v>205</v>
      </c>
      <c r="I50" s="8">
        <f t="shared" si="1"/>
        <v>209</v>
      </c>
    </row>
    <row r="51" spans="1:10" x14ac:dyDescent="0.3">
      <c r="A51" s="1">
        <f t="shared" si="0"/>
        <v>50</v>
      </c>
      <c r="B51" s="1">
        <v>209</v>
      </c>
      <c r="C51" s="1" t="s">
        <v>206</v>
      </c>
      <c r="D51" s="2">
        <v>2</v>
      </c>
      <c r="E51" s="1" t="str">
        <f>VLOOKUP(B51,Sheet2!$G$2:$H$28,2,FALSE)</f>
        <v>아시아드경기장역</v>
      </c>
      <c r="F51" s="2" t="str">
        <f>B51&amp;C51&amp;TEXT(D51,"000")</f>
        <v>209ES002</v>
      </c>
      <c r="G51" s="1" t="s">
        <v>157</v>
      </c>
      <c r="H51" s="1" t="s">
        <v>205</v>
      </c>
      <c r="I51" s="8">
        <f t="shared" si="1"/>
        <v>209</v>
      </c>
    </row>
    <row r="52" spans="1:10" x14ac:dyDescent="0.3">
      <c r="A52" s="1">
        <f t="shared" si="0"/>
        <v>51</v>
      </c>
      <c r="B52" s="1">
        <v>209</v>
      </c>
      <c r="C52" s="1" t="s">
        <v>206</v>
      </c>
      <c r="D52" s="2">
        <v>3</v>
      </c>
      <c r="E52" s="1" t="str">
        <f>VLOOKUP(B52,Sheet2!$G$2:$H$28,2,FALSE)</f>
        <v>아시아드경기장역</v>
      </c>
      <c r="F52" s="2" t="str">
        <f>B52&amp;C52&amp;TEXT(D52,"000")</f>
        <v>209ES003</v>
      </c>
      <c r="G52" s="1" t="s">
        <v>158</v>
      </c>
      <c r="H52" s="1" t="s">
        <v>205</v>
      </c>
      <c r="I52" s="8">
        <f t="shared" si="1"/>
        <v>209</v>
      </c>
    </row>
    <row r="53" spans="1:10" x14ac:dyDescent="0.3">
      <c r="A53" s="1">
        <f t="shared" si="0"/>
        <v>52</v>
      </c>
      <c r="B53" s="1">
        <v>209</v>
      </c>
      <c r="C53" s="1" t="s">
        <v>206</v>
      </c>
      <c r="D53" s="2">
        <v>4</v>
      </c>
      <c r="E53" s="1" t="str">
        <f>VLOOKUP(B53,Sheet2!$G$2:$H$28,2,FALSE)</f>
        <v>아시아드경기장역</v>
      </c>
      <c r="F53" s="2" t="str">
        <f>B53&amp;C53&amp;TEXT(D53,"000")</f>
        <v>209ES004</v>
      </c>
      <c r="G53" s="1" t="s">
        <v>159</v>
      </c>
      <c r="H53" s="1" t="s">
        <v>205</v>
      </c>
      <c r="I53" s="8">
        <f t="shared" si="1"/>
        <v>209</v>
      </c>
    </row>
    <row r="54" spans="1:10" x14ac:dyDescent="0.3">
      <c r="A54" s="1">
        <f t="shared" si="0"/>
        <v>53</v>
      </c>
      <c r="B54" s="1">
        <v>209</v>
      </c>
      <c r="C54" s="1" t="s">
        <v>206</v>
      </c>
      <c r="D54" s="2">
        <v>5</v>
      </c>
      <c r="E54" s="1" t="str">
        <f>VLOOKUP(B54,Sheet2!$G$2:$H$28,2,FALSE)</f>
        <v>아시아드경기장역</v>
      </c>
      <c r="F54" s="2" t="str">
        <f>B54&amp;C54&amp;TEXT(D54,"000")</f>
        <v>209ES005</v>
      </c>
      <c r="G54" s="1" t="s">
        <v>160</v>
      </c>
      <c r="H54" s="1" t="s">
        <v>205</v>
      </c>
      <c r="I54" s="8">
        <f t="shared" si="1"/>
        <v>209</v>
      </c>
    </row>
    <row r="55" spans="1:10" x14ac:dyDescent="0.3">
      <c r="A55" s="1">
        <f t="shared" si="0"/>
        <v>54</v>
      </c>
      <c r="B55" s="1">
        <v>209</v>
      </c>
      <c r="C55" s="1" t="s">
        <v>206</v>
      </c>
      <c r="D55" s="2">
        <v>6</v>
      </c>
      <c r="E55" s="1" t="str">
        <f>VLOOKUP(B55,Sheet2!$G$2:$H$28,2,FALSE)</f>
        <v>아시아드경기장역</v>
      </c>
      <c r="F55" s="2" t="str">
        <f>B55&amp;C55&amp;TEXT(D55,"000")</f>
        <v>209ES006</v>
      </c>
      <c r="G55" s="1" t="s">
        <v>161</v>
      </c>
      <c r="H55" s="1" t="s">
        <v>205</v>
      </c>
      <c r="I55" s="8">
        <f t="shared" si="1"/>
        <v>209</v>
      </c>
    </row>
    <row r="56" spans="1:10" x14ac:dyDescent="0.3">
      <c r="A56" s="1">
        <f t="shared" si="0"/>
        <v>55</v>
      </c>
      <c r="B56" s="1">
        <v>209</v>
      </c>
      <c r="C56" s="1" t="s">
        <v>206</v>
      </c>
      <c r="D56" s="2">
        <v>7</v>
      </c>
      <c r="E56" s="1" t="str">
        <f>VLOOKUP(B56,Sheet2!$G$2:$H$28,2,FALSE)</f>
        <v>아시아드경기장역</v>
      </c>
      <c r="F56" s="2" t="str">
        <f>B56&amp;C56&amp;TEXT(D56,"000")</f>
        <v>209ES007</v>
      </c>
      <c r="G56" s="1" t="s">
        <v>162</v>
      </c>
      <c r="H56" s="1" t="s">
        <v>205</v>
      </c>
      <c r="I56" s="8">
        <f t="shared" si="1"/>
        <v>209</v>
      </c>
    </row>
    <row r="57" spans="1:10" x14ac:dyDescent="0.3">
      <c r="A57" s="1">
        <f t="shared" si="0"/>
        <v>56</v>
      </c>
      <c r="B57" s="1">
        <v>209</v>
      </c>
      <c r="C57" s="1" t="s">
        <v>206</v>
      </c>
      <c r="D57" s="2">
        <v>8</v>
      </c>
      <c r="E57" s="1" t="str">
        <f>VLOOKUP(B57,Sheet2!$G$2:$H$28,2,FALSE)</f>
        <v>아시아드경기장역</v>
      </c>
      <c r="F57" s="2" t="str">
        <f>B57&amp;C57&amp;TEXT(D57,"000")</f>
        <v>209ES008</v>
      </c>
      <c r="G57" s="1" t="s">
        <v>163</v>
      </c>
      <c r="H57" s="1" t="s">
        <v>205</v>
      </c>
      <c r="I57" s="8">
        <f t="shared" si="1"/>
        <v>209</v>
      </c>
    </row>
    <row r="58" spans="1:10" x14ac:dyDescent="0.3">
      <c r="A58" s="1">
        <f t="shared" si="0"/>
        <v>57</v>
      </c>
      <c r="B58" s="1">
        <v>209</v>
      </c>
      <c r="C58" s="1" t="s">
        <v>207</v>
      </c>
      <c r="D58" s="2" t="s">
        <v>210</v>
      </c>
      <c r="E58" s="1" t="str">
        <f>VLOOKUP(B58,Sheet2!$G$2:$H$28,2,FALSE)</f>
        <v>아시아드경기장역</v>
      </c>
      <c r="F58" s="2" t="str">
        <f>B58&amp;C58&amp;TEXT(D58,"000")</f>
        <v>209TOILET4M</v>
      </c>
      <c r="G58" s="1" t="s">
        <v>164</v>
      </c>
      <c r="H58" s="1" t="s">
        <v>205</v>
      </c>
      <c r="I58" s="8">
        <f t="shared" si="1"/>
        <v>209</v>
      </c>
    </row>
    <row r="59" spans="1:10" x14ac:dyDescent="0.3">
      <c r="A59" s="1">
        <f t="shared" si="0"/>
        <v>58</v>
      </c>
      <c r="B59" s="1">
        <v>209</v>
      </c>
      <c r="C59" s="1" t="s">
        <v>207</v>
      </c>
      <c r="D59" s="2" t="s">
        <v>211</v>
      </c>
      <c r="E59" s="1" t="str">
        <f>VLOOKUP(B59,Sheet2!$G$2:$H$28,2,FALSE)</f>
        <v>아시아드경기장역</v>
      </c>
      <c r="F59" s="2" t="str">
        <f>B59&amp;C59&amp;TEXT(D59,"000")</f>
        <v>209TOILET4W</v>
      </c>
      <c r="G59" s="1" t="s">
        <v>165</v>
      </c>
      <c r="H59" s="1" t="s">
        <v>205</v>
      </c>
      <c r="I59" s="8">
        <f t="shared" si="1"/>
        <v>209</v>
      </c>
    </row>
    <row r="60" spans="1:10" x14ac:dyDescent="0.3">
      <c r="A60" s="1">
        <f t="shared" si="0"/>
        <v>59</v>
      </c>
      <c r="B60" s="1">
        <v>209</v>
      </c>
      <c r="C60" s="1" t="s">
        <v>208</v>
      </c>
      <c r="D60" s="2">
        <v>1</v>
      </c>
      <c r="E60" s="1" t="str">
        <f>VLOOKUP(B60,Sheet2!$G$2:$H$28,2,FALSE)</f>
        <v>아시아드경기장역</v>
      </c>
      <c r="F60" s="2" t="str">
        <f>B60&amp;C60&amp;TEXT(D60,"000")</f>
        <v>209EL001</v>
      </c>
      <c r="G60" s="1" t="s">
        <v>166</v>
      </c>
      <c r="H60" s="1" t="s">
        <v>205</v>
      </c>
      <c r="I60" s="8">
        <f t="shared" si="1"/>
        <v>209</v>
      </c>
    </row>
    <row r="61" spans="1:10" x14ac:dyDescent="0.3">
      <c r="A61" s="1">
        <f t="shared" si="0"/>
        <v>60</v>
      </c>
      <c r="B61" s="1">
        <v>209</v>
      </c>
      <c r="C61" s="1" t="s">
        <v>208</v>
      </c>
      <c r="D61" s="2">
        <v>2</v>
      </c>
      <c r="E61" s="1" t="str">
        <f>VLOOKUP(B61,Sheet2!$G$2:$H$28,2,FALSE)</f>
        <v>아시아드경기장역</v>
      </c>
      <c r="F61" s="2" t="str">
        <f>B61&amp;C61&amp;TEXT(D61,"000")</f>
        <v>209EL002</v>
      </c>
      <c r="G61" s="1" t="s">
        <v>167</v>
      </c>
      <c r="H61" s="1" t="s">
        <v>205</v>
      </c>
      <c r="I61" s="8">
        <f t="shared" si="1"/>
        <v>209</v>
      </c>
    </row>
    <row r="62" spans="1:10" x14ac:dyDescent="0.3">
      <c r="A62" s="1">
        <f t="shared" si="0"/>
        <v>61</v>
      </c>
      <c r="B62" s="1">
        <v>209</v>
      </c>
      <c r="C62" s="1" t="s">
        <v>208</v>
      </c>
      <c r="D62" s="2">
        <v>3</v>
      </c>
      <c r="E62" s="1" t="str">
        <f>VLOOKUP(B62,Sheet2!$G$2:$H$28,2,FALSE)</f>
        <v>아시아드경기장역</v>
      </c>
      <c r="F62" s="2" t="str">
        <f>B62&amp;C62&amp;TEXT(D62,"000")</f>
        <v>209EL003</v>
      </c>
      <c r="G62" s="1" t="s">
        <v>201</v>
      </c>
      <c r="H62" s="1" t="s">
        <v>205</v>
      </c>
      <c r="I62" s="8">
        <f t="shared" si="1"/>
        <v>209</v>
      </c>
    </row>
    <row r="63" spans="1:10" x14ac:dyDescent="0.3">
      <c r="A63" s="1">
        <f t="shared" si="0"/>
        <v>62</v>
      </c>
      <c r="B63" s="1">
        <v>209</v>
      </c>
      <c r="C63" s="1" t="s">
        <v>208</v>
      </c>
      <c r="D63" s="2">
        <v>4</v>
      </c>
      <c r="E63" s="1" t="str">
        <f>VLOOKUP(B63,Sheet2!$G$2:$H$28,2,FALSE)</f>
        <v>아시아드경기장역</v>
      </c>
      <c r="F63" s="2" t="str">
        <f>B63&amp;C63&amp;TEXT(D63,"000")</f>
        <v>209EL004</v>
      </c>
      <c r="G63" s="1" t="s">
        <v>203</v>
      </c>
      <c r="H63" s="1" t="s">
        <v>205</v>
      </c>
      <c r="I63" s="8">
        <f t="shared" si="1"/>
        <v>209</v>
      </c>
    </row>
    <row r="64" spans="1:10" x14ac:dyDescent="0.3">
      <c r="A64" s="1">
        <f t="shared" si="0"/>
        <v>63</v>
      </c>
      <c r="B64" s="1">
        <v>209</v>
      </c>
      <c r="C64" s="1" t="s">
        <v>209</v>
      </c>
      <c r="D64" s="2">
        <v>1</v>
      </c>
      <c r="E64" s="1" t="str">
        <f>VLOOKUP(B64,Sheet2!$G$2:$H$28,2,FALSE)</f>
        <v>아시아드경기장역</v>
      </c>
      <c r="F64" s="2" t="str">
        <f>B64&amp;C64&amp;TEXT(D64,"000")</f>
        <v>209EXIT001</v>
      </c>
      <c r="G64" s="1" t="s">
        <v>168</v>
      </c>
      <c r="H64" s="1" t="s">
        <v>205</v>
      </c>
      <c r="I64" s="8">
        <f t="shared" si="1"/>
        <v>209</v>
      </c>
    </row>
    <row r="65" spans="1:9" x14ac:dyDescent="0.3">
      <c r="A65" s="1">
        <f t="shared" si="0"/>
        <v>64</v>
      </c>
      <c r="B65" s="1">
        <v>209</v>
      </c>
      <c r="C65" s="1" t="s">
        <v>209</v>
      </c>
      <c r="D65" s="2">
        <v>2</v>
      </c>
      <c r="E65" s="1" t="str">
        <f>VLOOKUP(B65,Sheet2!$G$2:$H$28,2,FALSE)</f>
        <v>아시아드경기장역</v>
      </c>
      <c r="F65" s="2" t="str">
        <f>B65&amp;C65&amp;TEXT(D65,"000")</f>
        <v>209EXIT002</v>
      </c>
      <c r="G65" s="1" t="s">
        <v>169</v>
      </c>
      <c r="H65" s="1" t="s">
        <v>205</v>
      </c>
      <c r="I65" s="8">
        <f t="shared" si="1"/>
        <v>209</v>
      </c>
    </row>
    <row r="66" spans="1:9" x14ac:dyDescent="0.3">
      <c r="A66" s="1">
        <f t="shared" si="0"/>
        <v>65</v>
      </c>
      <c r="B66" s="1">
        <v>209</v>
      </c>
      <c r="C66" s="1" t="s">
        <v>209</v>
      </c>
      <c r="D66" s="2">
        <v>3</v>
      </c>
      <c r="E66" s="1" t="str">
        <f>VLOOKUP(B66,Sheet2!$G$2:$H$28,2,FALSE)</f>
        <v>아시아드경기장역</v>
      </c>
      <c r="F66" s="2" t="str">
        <f>B66&amp;C66&amp;TEXT(D66,"000")</f>
        <v>209EXIT003</v>
      </c>
      <c r="G66" s="1" t="s">
        <v>170</v>
      </c>
      <c r="H66" s="1" t="s">
        <v>205</v>
      </c>
      <c r="I66" s="8">
        <f t="shared" si="1"/>
        <v>209</v>
      </c>
    </row>
    <row r="67" spans="1:9" x14ac:dyDescent="0.3">
      <c r="A67" s="1">
        <f t="shared" ref="A67:A101" si="2">ROW()-1</f>
        <v>66</v>
      </c>
      <c r="B67" s="1">
        <v>209</v>
      </c>
      <c r="C67" s="1" t="s">
        <v>209</v>
      </c>
      <c r="D67" s="2">
        <v>4</v>
      </c>
      <c r="E67" s="1" t="str">
        <f>VLOOKUP(B67,Sheet2!$G$2:$H$28,2,FALSE)</f>
        <v>아시아드경기장역</v>
      </c>
      <c r="F67" s="2" t="str">
        <f>B67&amp;C67&amp;TEXT(D67,"000")</f>
        <v>209EXIT004</v>
      </c>
      <c r="G67" s="1" t="s">
        <v>171</v>
      </c>
      <c r="H67" s="1" t="s">
        <v>205</v>
      </c>
      <c r="I67" s="8">
        <f t="shared" ref="I67:I101" si="3">B67</f>
        <v>209</v>
      </c>
    </row>
    <row r="68" spans="1:9" x14ac:dyDescent="0.3">
      <c r="A68" s="1">
        <f t="shared" si="2"/>
        <v>67</v>
      </c>
      <c r="B68" s="1">
        <v>212</v>
      </c>
      <c r="C68" s="1" t="s">
        <v>206</v>
      </c>
      <c r="D68" s="2">
        <v>1</v>
      </c>
      <c r="E68" s="1" t="str">
        <f>VLOOKUP(B68,Sheet2!$G$2:$H$28,2,FALSE)</f>
        <v>가정중앙시장역</v>
      </c>
      <c r="F68" s="2" t="str">
        <f>B68&amp;C68&amp;TEXT(D68,"000")</f>
        <v>212ES001</v>
      </c>
      <c r="G68" s="1" t="s">
        <v>213</v>
      </c>
      <c r="H68" s="1" t="s">
        <v>232</v>
      </c>
      <c r="I68" s="8">
        <f t="shared" si="3"/>
        <v>212</v>
      </c>
    </row>
    <row r="69" spans="1:9" x14ac:dyDescent="0.3">
      <c r="A69" s="1">
        <f t="shared" si="2"/>
        <v>68</v>
      </c>
      <c r="B69" s="1">
        <v>212</v>
      </c>
      <c r="C69" s="1" t="s">
        <v>206</v>
      </c>
      <c r="D69" s="2">
        <v>2</v>
      </c>
      <c r="E69" s="1" t="str">
        <f>VLOOKUP(B69,Sheet2!$G$2:$H$28,2,FALSE)</f>
        <v>가정중앙시장역</v>
      </c>
      <c r="F69" s="2" t="str">
        <f>B69&amp;C69&amp;TEXT(D69,"000")</f>
        <v>212ES002</v>
      </c>
      <c r="G69" s="1" t="s">
        <v>214</v>
      </c>
      <c r="H69" s="1" t="s">
        <v>232</v>
      </c>
      <c r="I69" s="8">
        <f t="shared" si="3"/>
        <v>212</v>
      </c>
    </row>
    <row r="70" spans="1:9" x14ac:dyDescent="0.3">
      <c r="A70" s="1">
        <f t="shared" si="2"/>
        <v>69</v>
      </c>
      <c r="B70" s="1">
        <v>212</v>
      </c>
      <c r="C70" s="1" t="s">
        <v>206</v>
      </c>
      <c r="D70" s="2">
        <v>3</v>
      </c>
      <c r="E70" s="1" t="str">
        <f>VLOOKUP(B70,Sheet2!$G$2:$H$28,2,FALSE)</f>
        <v>가정중앙시장역</v>
      </c>
      <c r="F70" s="2" t="str">
        <f>B70&amp;C70&amp;TEXT(D70,"000")</f>
        <v>212ES003</v>
      </c>
      <c r="G70" s="1" t="s">
        <v>215</v>
      </c>
      <c r="H70" s="1" t="s">
        <v>232</v>
      </c>
      <c r="I70" s="8">
        <f t="shared" si="3"/>
        <v>212</v>
      </c>
    </row>
    <row r="71" spans="1:9" x14ac:dyDescent="0.3">
      <c r="A71" s="1">
        <f t="shared" si="2"/>
        <v>70</v>
      </c>
      <c r="B71" s="1">
        <v>212</v>
      </c>
      <c r="C71" s="1" t="s">
        <v>206</v>
      </c>
      <c r="D71" s="2">
        <v>4</v>
      </c>
      <c r="E71" s="1" t="str">
        <f>VLOOKUP(B71,Sheet2!$G$2:$H$28,2,FALSE)</f>
        <v>가정중앙시장역</v>
      </c>
      <c r="F71" s="2" t="str">
        <f>B71&amp;C71&amp;TEXT(D71,"000")</f>
        <v>212ES004</v>
      </c>
      <c r="G71" s="1" t="s">
        <v>216</v>
      </c>
      <c r="H71" s="1" t="s">
        <v>232</v>
      </c>
      <c r="I71" s="8">
        <f t="shared" si="3"/>
        <v>212</v>
      </c>
    </row>
    <row r="72" spans="1:9" x14ac:dyDescent="0.3">
      <c r="A72" s="1">
        <f t="shared" si="2"/>
        <v>71</v>
      </c>
      <c r="B72" s="1">
        <v>212</v>
      </c>
      <c r="C72" s="1" t="s">
        <v>206</v>
      </c>
      <c r="D72" s="2">
        <v>5</v>
      </c>
      <c r="E72" s="1" t="str">
        <f>VLOOKUP(B72,Sheet2!$G$2:$H$28,2,FALSE)</f>
        <v>가정중앙시장역</v>
      </c>
      <c r="F72" s="2" t="str">
        <f>B72&amp;C72&amp;TEXT(D72,"000")</f>
        <v>212ES005</v>
      </c>
      <c r="G72" s="1" t="s">
        <v>217</v>
      </c>
      <c r="H72" s="1" t="s">
        <v>232</v>
      </c>
      <c r="I72" s="8">
        <f t="shared" si="3"/>
        <v>212</v>
      </c>
    </row>
    <row r="73" spans="1:9" x14ac:dyDescent="0.3">
      <c r="A73" s="1">
        <f t="shared" si="2"/>
        <v>72</v>
      </c>
      <c r="B73" s="1">
        <v>212</v>
      </c>
      <c r="C73" s="1" t="s">
        <v>206</v>
      </c>
      <c r="D73" s="2">
        <v>6</v>
      </c>
      <c r="E73" s="1" t="str">
        <f>VLOOKUP(B73,Sheet2!$G$2:$H$28,2,FALSE)</f>
        <v>가정중앙시장역</v>
      </c>
      <c r="F73" s="2" t="str">
        <f>B73&amp;C73&amp;TEXT(D73,"000")</f>
        <v>212ES006</v>
      </c>
      <c r="G73" s="1" t="s">
        <v>218</v>
      </c>
      <c r="H73" s="1" t="s">
        <v>232</v>
      </c>
      <c r="I73" s="8">
        <f t="shared" si="3"/>
        <v>212</v>
      </c>
    </row>
    <row r="74" spans="1:9" x14ac:dyDescent="0.3">
      <c r="A74" s="1">
        <f t="shared" si="2"/>
        <v>73</v>
      </c>
      <c r="B74" s="1">
        <v>212</v>
      </c>
      <c r="C74" s="1" t="s">
        <v>208</v>
      </c>
      <c r="D74" s="2">
        <v>1</v>
      </c>
      <c r="E74" s="1" t="str">
        <f>VLOOKUP(B74,Sheet2!$G$2:$H$28,2,FALSE)</f>
        <v>가정중앙시장역</v>
      </c>
      <c r="F74" s="2" t="str">
        <f>B74&amp;C74&amp;TEXT(D74,"000")</f>
        <v>212EL001</v>
      </c>
      <c r="G74" s="1" t="s">
        <v>220</v>
      </c>
      <c r="H74" s="1" t="s">
        <v>232</v>
      </c>
      <c r="I74" s="8">
        <f t="shared" si="3"/>
        <v>212</v>
      </c>
    </row>
    <row r="75" spans="1:9" x14ac:dyDescent="0.3">
      <c r="A75" s="1">
        <f t="shared" si="2"/>
        <v>74</v>
      </c>
      <c r="B75" s="1">
        <v>212</v>
      </c>
      <c r="C75" s="1" t="s">
        <v>208</v>
      </c>
      <c r="D75" s="2">
        <v>2</v>
      </c>
      <c r="E75" s="1" t="str">
        <f>VLOOKUP(B75,Sheet2!$G$2:$H$28,2,FALSE)</f>
        <v>가정중앙시장역</v>
      </c>
      <c r="F75" s="2" t="str">
        <f>B75&amp;C75&amp;TEXT(D75,"000")</f>
        <v>212EL002</v>
      </c>
      <c r="G75" s="1" t="s">
        <v>221</v>
      </c>
      <c r="H75" s="1" t="s">
        <v>232</v>
      </c>
      <c r="I75" s="8">
        <f t="shared" si="3"/>
        <v>212</v>
      </c>
    </row>
    <row r="76" spans="1:9" x14ac:dyDescent="0.3">
      <c r="A76" s="1">
        <f t="shared" si="2"/>
        <v>75</v>
      </c>
      <c r="B76" s="1">
        <v>212</v>
      </c>
      <c r="C76" s="1" t="s">
        <v>208</v>
      </c>
      <c r="D76" s="2">
        <v>3</v>
      </c>
      <c r="E76" s="1" t="str">
        <f>VLOOKUP(B76,Sheet2!$G$2:$H$28,2,FALSE)</f>
        <v>가정중앙시장역</v>
      </c>
      <c r="F76" s="2" t="str">
        <f>B76&amp;C76&amp;TEXT(D76,"000")</f>
        <v>212EL003</v>
      </c>
      <c r="G76" s="1" t="s">
        <v>222</v>
      </c>
      <c r="H76" s="1" t="s">
        <v>232</v>
      </c>
      <c r="I76" s="8">
        <f t="shared" si="3"/>
        <v>212</v>
      </c>
    </row>
    <row r="77" spans="1:9" x14ac:dyDescent="0.3">
      <c r="A77" s="1">
        <f t="shared" si="2"/>
        <v>76</v>
      </c>
      <c r="B77" s="1">
        <v>212</v>
      </c>
      <c r="C77" s="1" t="s">
        <v>208</v>
      </c>
      <c r="D77" s="2">
        <v>4</v>
      </c>
      <c r="E77" s="1" t="str">
        <f>VLOOKUP(B77,Sheet2!$G$2:$H$28,2,FALSE)</f>
        <v>가정중앙시장역</v>
      </c>
      <c r="F77" s="2" t="str">
        <f>B77&amp;C77&amp;TEXT(D77,"000")</f>
        <v>212EL004</v>
      </c>
      <c r="G77" s="1" t="s">
        <v>223</v>
      </c>
      <c r="H77" s="1" t="s">
        <v>232</v>
      </c>
      <c r="I77" s="8">
        <f t="shared" si="3"/>
        <v>212</v>
      </c>
    </row>
    <row r="78" spans="1:9" x14ac:dyDescent="0.3">
      <c r="A78" s="1">
        <f t="shared" si="2"/>
        <v>77</v>
      </c>
      <c r="B78" s="1">
        <v>212</v>
      </c>
      <c r="C78" s="1" t="s">
        <v>208</v>
      </c>
      <c r="D78" s="2">
        <v>5</v>
      </c>
      <c r="E78" s="1" t="str">
        <f>VLOOKUP(B78,Sheet2!$G$2:$H$28,2,FALSE)</f>
        <v>가정중앙시장역</v>
      </c>
      <c r="F78" s="2" t="str">
        <f>B78&amp;C78&amp;TEXT(D78,"000")</f>
        <v>212EL005</v>
      </c>
      <c r="G78" s="1" t="s">
        <v>224</v>
      </c>
      <c r="H78" s="1" t="s">
        <v>232</v>
      </c>
      <c r="I78" s="8">
        <f t="shared" si="3"/>
        <v>212</v>
      </c>
    </row>
    <row r="79" spans="1:9" x14ac:dyDescent="0.3">
      <c r="A79" s="1">
        <f t="shared" si="2"/>
        <v>78</v>
      </c>
      <c r="B79" s="1">
        <v>212</v>
      </c>
      <c r="C79" s="1" t="s">
        <v>207</v>
      </c>
      <c r="D79" s="2" t="s">
        <v>225</v>
      </c>
      <c r="E79" s="1" t="str">
        <f>VLOOKUP(B79,Sheet2!$G$2:$H$28,2,FALSE)</f>
        <v>가정중앙시장역</v>
      </c>
      <c r="F79" s="2" t="str">
        <f>B79&amp;C79&amp;TEXT(D79,"000")</f>
        <v>212TOILET1M</v>
      </c>
      <c r="G79" s="1" t="s">
        <v>228</v>
      </c>
      <c r="H79" s="1" t="s">
        <v>232</v>
      </c>
      <c r="I79" s="8">
        <f t="shared" si="3"/>
        <v>212</v>
      </c>
    </row>
    <row r="80" spans="1:9" x14ac:dyDescent="0.3">
      <c r="A80" s="1">
        <f t="shared" si="2"/>
        <v>79</v>
      </c>
      <c r="B80" s="1">
        <v>212</v>
      </c>
      <c r="C80" s="1" t="s">
        <v>207</v>
      </c>
      <c r="D80" s="2" t="s">
        <v>226</v>
      </c>
      <c r="E80" s="1" t="str">
        <f>VLOOKUP(B80,Sheet2!$G$2:$H$28,2,FALSE)</f>
        <v>가정중앙시장역</v>
      </c>
      <c r="F80" s="2" t="str">
        <f>B80&amp;C80&amp;TEXT(D80,"000")</f>
        <v>212TOILET1W</v>
      </c>
      <c r="G80" s="1" t="s">
        <v>230</v>
      </c>
      <c r="H80" s="1" t="s">
        <v>232</v>
      </c>
      <c r="I80" s="8">
        <f t="shared" si="3"/>
        <v>212</v>
      </c>
    </row>
    <row r="81" spans="1:9" x14ac:dyDescent="0.3">
      <c r="A81" s="1">
        <f t="shared" si="2"/>
        <v>80</v>
      </c>
      <c r="B81" s="1">
        <v>212</v>
      </c>
      <c r="C81" s="1" t="s">
        <v>209</v>
      </c>
      <c r="D81" s="2">
        <v>1</v>
      </c>
      <c r="E81" s="1" t="str">
        <f>VLOOKUP(B81,Sheet2!$G$2:$H$28,2,FALSE)</f>
        <v>가정중앙시장역</v>
      </c>
      <c r="F81" s="2" t="str">
        <f>B81&amp;C81&amp;TEXT(D81,"000")</f>
        <v>212EXIT001</v>
      </c>
      <c r="G81" s="1" t="s">
        <v>247</v>
      </c>
      <c r="H81" s="1" t="s">
        <v>232</v>
      </c>
      <c r="I81" s="8">
        <f t="shared" si="3"/>
        <v>212</v>
      </c>
    </row>
    <row r="82" spans="1:9" x14ac:dyDescent="0.3">
      <c r="A82" s="1">
        <f t="shared" si="2"/>
        <v>81</v>
      </c>
      <c r="B82" s="1">
        <v>212</v>
      </c>
      <c r="C82" s="1" t="s">
        <v>209</v>
      </c>
      <c r="D82" s="2">
        <v>2</v>
      </c>
      <c r="E82" s="1" t="str">
        <f>VLOOKUP(B82,Sheet2!$G$2:$H$28,2,FALSE)</f>
        <v>가정중앙시장역</v>
      </c>
      <c r="F82" s="2" t="str">
        <f>B82&amp;C82&amp;TEXT(D82,"000")</f>
        <v>212EXIT002</v>
      </c>
      <c r="G82" s="1" t="s">
        <v>266</v>
      </c>
      <c r="H82" s="1" t="s">
        <v>232</v>
      </c>
      <c r="I82" s="8">
        <f t="shared" si="3"/>
        <v>212</v>
      </c>
    </row>
    <row r="83" spans="1:9" x14ac:dyDescent="0.3">
      <c r="A83" s="7">
        <f t="shared" si="2"/>
        <v>82</v>
      </c>
      <c r="B83" s="1">
        <v>210</v>
      </c>
      <c r="C83" s="1" t="s">
        <v>209</v>
      </c>
      <c r="D83" s="2">
        <v>1</v>
      </c>
      <c r="E83" s="1" t="str">
        <f>VLOOKUP(B83,Sheet2!$G$2:$H$28,2,FALSE)</f>
        <v>서해구청역</v>
      </c>
      <c r="F83" s="2" t="str">
        <f>B83&amp;C83&amp;TEXT(D83,"000")</f>
        <v>210EXIT001</v>
      </c>
      <c r="G83" s="1" t="s">
        <v>269</v>
      </c>
      <c r="H83" s="1" t="s">
        <v>272</v>
      </c>
      <c r="I83" s="8">
        <f t="shared" si="3"/>
        <v>210</v>
      </c>
    </row>
    <row r="84" spans="1:9" x14ac:dyDescent="0.3">
      <c r="A84" s="7">
        <f t="shared" si="2"/>
        <v>83</v>
      </c>
      <c r="B84" s="1">
        <v>210</v>
      </c>
      <c r="C84" s="1" t="s">
        <v>209</v>
      </c>
      <c r="D84" s="2">
        <v>2</v>
      </c>
      <c r="E84" s="1" t="str">
        <f>VLOOKUP(B84,Sheet2!$G$2:$H$28,2,FALSE)</f>
        <v>서해구청역</v>
      </c>
      <c r="F84" s="2" t="str">
        <f>B84&amp;C84&amp;TEXT(D84,"000")</f>
        <v>210EXIT002</v>
      </c>
      <c r="G84" s="1" t="s">
        <v>270</v>
      </c>
      <c r="H84" s="1" t="s">
        <v>272</v>
      </c>
      <c r="I84" s="8">
        <f t="shared" si="3"/>
        <v>210</v>
      </c>
    </row>
    <row r="85" spans="1:9" x14ac:dyDescent="0.3">
      <c r="A85" s="7">
        <f t="shared" si="2"/>
        <v>84</v>
      </c>
      <c r="B85" s="1">
        <v>210</v>
      </c>
      <c r="C85" s="1" t="s">
        <v>209</v>
      </c>
      <c r="D85" s="2">
        <v>3</v>
      </c>
      <c r="E85" s="1" t="str">
        <f>VLOOKUP(B85,Sheet2!$G$2:$H$28,2,FALSE)</f>
        <v>서해구청역</v>
      </c>
      <c r="F85" s="2" t="str">
        <f>B85&amp;C85&amp;TEXT(D85,"000")</f>
        <v>210EXIT003</v>
      </c>
      <c r="G85" s="1" t="s">
        <v>267</v>
      </c>
      <c r="H85" s="1" t="s">
        <v>272</v>
      </c>
      <c r="I85" s="8">
        <f t="shared" si="3"/>
        <v>210</v>
      </c>
    </row>
    <row r="86" spans="1:9" x14ac:dyDescent="0.3">
      <c r="A86" s="7">
        <f t="shared" si="2"/>
        <v>85</v>
      </c>
      <c r="B86" s="1">
        <v>210</v>
      </c>
      <c r="C86" s="1" t="s">
        <v>209</v>
      </c>
      <c r="D86" s="2">
        <v>4</v>
      </c>
      <c r="E86" s="1" t="str">
        <f>VLOOKUP(B86,Sheet2!$G$2:$H$28,2,FALSE)</f>
        <v>서해구청역</v>
      </c>
      <c r="F86" s="2" t="str">
        <f>B86&amp;C86&amp;TEXT(D86,"000")</f>
        <v>210EXIT004</v>
      </c>
      <c r="G86" s="1" t="s">
        <v>268</v>
      </c>
      <c r="H86" s="1" t="s">
        <v>272</v>
      </c>
      <c r="I86" s="8">
        <f t="shared" si="3"/>
        <v>210</v>
      </c>
    </row>
    <row r="87" spans="1:9" x14ac:dyDescent="0.3">
      <c r="A87" s="7">
        <f t="shared" si="2"/>
        <v>86</v>
      </c>
      <c r="B87" s="1">
        <v>210</v>
      </c>
      <c r="C87" s="1" t="s">
        <v>207</v>
      </c>
      <c r="D87" s="2">
        <v>1</v>
      </c>
      <c r="E87" s="1" t="str">
        <f>VLOOKUP(B87,Sheet2!$G$2:$H$28,2,FALSE)</f>
        <v>서해구청역</v>
      </c>
      <c r="F87" s="2" t="str">
        <f>B87&amp;C87&amp;TEXT(D87,"000")</f>
        <v>210TOILET001</v>
      </c>
      <c r="G87" s="1" t="s">
        <v>271</v>
      </c>
      <c r="H87" s="1" t="s">
        <v>272</v>
      </c>
      <c r="I87" s="8">
        <f t="shared" si="3"/>
        <v>210</v>
      </c>
    </row>
    <row r="88" spans="1:9" x14ac:dyDescent="0.3">
      <c r="A88" s="7">
        <f t="shared" si="2"/>
        <v>87</v>
      </c>
      <c r="B88" s="7">
        <v>210</v>
      </c>
      <c r="C88" s="1" t="s">
        <v>206</v>
      </c>
      <c r="D88" s="2">
        <v>1</v>
      </c>
      <c r="E88" s="7" t="str">
        <f>VLOOKUP(B88,Sheet2!$G$2:$H$28,2,FALSE)</f>
        <v>서해구청역</v>
      </c>
      <c r="F88" s="2" t="str">
        <f>B88&amp;C88&amp;TEXT(D88,"000")</f>
        <v>210ES001</v>
      </c>
      <c r="G88" s="7" t="s">
        <v>273</v>
      </c>
      <c r="H88" s="7" t="s">
        <v>272</v>
      </c>
      <c r="I88" s="8">
        <f t="shared" si="3"/>
        <v>210</v>
      </c>
    </row>
    <row r="89" spans="1:9" x14ac:dyDescent="0.3">
      <c r="A89" s="7">
        <f t="shared" si="2"/>
        <v>88</v>
      </c>
      <c r="B89" s="7">
        <v>210</v>
      </c>
      <c r="C89" s="7" t="s">
        <v>206</v>
      </c>
      <c r="D89" s="2">
        <v>2</v>
      </c>
      <c r="E89" s="7" t="str">
        <f>VLOOKUP(B89,Sheet2!$G$2:$H$28,2,FALSE)</f>
        <v>서해구청역</v>
      </c>
      <c r="F89" s="2" t="str">
        <f>B89&amp;C89&amp;TEXT(D89,"000")</f>
        <v>210ES002</v>
      </c>
      <c r="G89" s="7" t="s">
        <v>60</v>
      </c>
      <c r="H89" s="7" t="s">
        <v>272</v>
      </c>
      <c r="I89" s="8">
        <f t="shared" si="3"/>
        <v>210</v>
      </c>
    </row>
    <row r="90" spans="1:9" x14ac:dyDescent="0.3">
      <c r="A90" s="7">
        <f t="shared" si="2"/>
        <v>89</v>
      </c>
      <c r="B90" s="7">
        <v>210</v>
      </c>
      <c r="C90" s="7" t="s">
        <v>206</v>
      </c>
      <c r="D90" s="2">
        <v>3</v>
      </c>
      <c r="E90" s="7" t="str">
        <f>VLOOKUP(B90,Sheet2!$G$2:$H$28,2,FALSE)</f>
        <v>서해구청역</v>
      </c>
      <c r="F90" s="2" t="str">
        <f>B90&amp;C90&amp;TEXT(D90,"000")</f>
        <v>210ES003</v>
      </c>
      <c r="G90" s="7" t="s">
        <v>61</v>
      </c>
      <c r="H90" s="7" t="s">
        <v>272</v>
      </c>
      <c r="I90" s="8">
        <f t="shared" si="3"/>
        <v>210</v>
      </c>
    </row>
    <row r="91" spans="1:9" x14ac:dyDescent="0.3">
      <c r="A91" s="7">
        <f t="shared" si="2"/>
        <v>90</v>
      </c>
      <c r="B91" s="7">
        <v>210</v>
      </c>
      <c r="C91" s="7" t="s">
        <v>206</v>
      </c>
      <c r="D91" s="2">
        <v>4</v>
      </c>
      <c r="E91" s="7" t="str">
        <f>VLOOKUP(B91,Sheet2!$G$2:$H$28,2,FALSE)</f>
        <v>서해구청역</v>
      </c>
      <c r="F91" s="2" t="str">
        <f>B91&amp;C91&amp;TEXT(D91,"000")</f>
        <v>210ES004</v>
      </c>
      <c r="G91" s="7" t="s">
        <v>62</v>
      </c>
      <c r="H91" s="7" t="s">
        <v>272</v>
      </c>
      <c r="I91" s="8">
        <f t="shared" si="3"/>
        <v>210</v>
      </c>
    </row>
    <row r="92" spans="1:9" x14ac:dyDescent="0.3">
      <c r="A92" s="7">
        <f t="shared" si="2"/>
        <v>91</v>
      </c>
      <c r="B92" s="7">
        <v>210</v>
      </c>
      <c r="C92" s="7" t="s">
        <v>206</v>
      </c>
      <c r="D92" s="2">
        <v>5</v>
      </c>
      <c r="E92" s="7" t="str">
        <f>VLOOKUP(B92,Sheet2!$G$2:$H$28,2,FALSE)</f>
        <v>서해구청역</v>
      </c>
      <c r="F92" s="2" t="str">
        <f>B92&amp;C92&amp;TEXT(D92,"000")</f>
        <v>210ES005</v>
      </c>
      <c r="G92" s="7" t="s">
        <v>63</v>
      </c>
      <c r="H92" s="7" t="s">
        <v>272</v>
      </c>
      <c r="I92" s="8">
        <f t="shared" si="3"/>
        <v>210</v>
      </c>
    </row>
    <row r="93" spans="1:9" x14ac:dyDescent="0.3">
      <c r="A93" s="7">
        <f t="shared" si="2"/>
        <v>92</v>
      </c>
      <c r="B93" s="7">
        <v>210</v>
      </c>
      <c r="C93" s="7" t="s">
        <v>206</v>
      </c>
      <c r="D93" s="2">
        <v>6</v>
      </c>
      <c r="E93" s="7" t="str">
        <f>VLOOKUP(B93,Sheet2!$G$2:$H$28,2,FALSE)</f>
        <v>서해구청역</v>
      </c>
      <c r="F93" s="2" t="str">
        <f>B93&amp;C93&amp;TEXT(D93,"000")</f>
        <v>210ES006</v>
      </c>
      <c r="G93" s="7" t="s">
        <v>64</v>
      </c>
      <c r="H93" s="7" t="s">
        <v>272</v>
      </c>
      <c r="I93" s="8">
        <f t="shared" si="3"/>
        <v>210</v>
      </c>
    </row>
    <row r="94" spans="1:9" x14ac:dyDescent="0.3">
      <c r="A94" s="7">
        <f t="shared" si="2"/>
        <v>93</v>
      </c>
      <c r="B94" s="7">
        <v>210</v>
      </c>
      <c r="C94" s="7" t="s">
        <v>206</v>
      </c>
      <c r="D94" s="2">
        <v>7</v>
      </c>
      <c r="E94" s="7" t="str">
        <f>VLOOKUP(B94,Sheet2!$G$2:$H$28,2,FALSE)</f>
        <v>서해구청역</v>
      </c>
      <c r="F94" s="2" t="str">
        <f>B94&amp;C94&amp;TEXT(D94,"000")</f>
        <v>210ES007</v>
      </c>
      <c r="G94" s="7" t="s">
        <v>65</v>
      </c>
      <c r="H94" s="7" t="s">
        <v>272</v>
      </c>
      <c r="I94" s="8">
        <f t="shared" si="3"/>
        <v>210</v>
      </c>
    </row>
    <row r="95" spans="1:9" x14ac:dyDescent="0.3">
      <c r="A95" s="7">
        <f t="shared" si="2"/>
        <v>94</v>
      </c>
      <c r="B95" s="7">
        <v>210</v>
      </c>
      <c r="C95" s="7" t="s">
        <v>206</v>
      </c>
      <c r="D95" s="2">
        <v>8</v>
      </c>
      <c r="E95" s="7" t="str">
        <f>VLOOKUP(B95,Sheet2!$G$2:$H$28,2,FALSE)</f>
        <v>서해구청역</v>
      </c>
      <c r="F95" s="2" t="str">
        <f>B95&amp;C95&amp;TEXT(D95,"000")</f>
        <v>210ES008</v>
      </c>
      <c r="G95" s="7" t="s">
        <v>66</v>
      </c>
      <c r="H95" s="7" t="s">
        <v>272</v>
      </c>
      <c r="I95" s="8">
        <f t="shared" si="3"/>
        <v>210</v>
      </c>
    </row>
    <row r="96" spans="1:9" x14ac:dyDescent="0.3">
      <c r="A96" s="7">
        <f t="shared" si="2"/>
        <v>95</v>
      </c>
      <c r="B96" s="7">
        <v>210</v>
      </c>
      <c r="C96" s="7" t="s">
        <v>206</v>
      </c>
      <c r="D96" s="2">
        <v>9</v>
      </c>
      <c r="E96" s="7" t="str">
        <f>VLOOKUP(B96,Sheet2!$G$2:$H$28,2,FALSE)</f>
        <v>서해구청역</v>
      </c>
      <c r="F96" s="2" t="str">
        <f>B96&amp;C96&amp;TEXT(D96,"000")</f>
        <v>210ES009</v>
      </c>
      <c r="G96" s="7" t="s">
        <v>67</v>
      </c>
      <c r="H96" s="7" t="s">
        <v>272</v>
      </c>
      <c r="I96" s="8">
        <f t="shared" si="3"/>
        <v>210</v>
      </c>
    </row>
    <row r="97" spans="1:9" x14ac:dyDescent="0.3">
      <c r="A97" s="7">
        <f t="shared" si="2"/>
        <v>96</v>
      </c>
      <c r="B97" s="7">
        <v>210</v>
      </c>
      <c r="C97" s="7" t="s">
        <v>206</v>
      </c>
      <c r="D97" s="2">
        <v>10</v>
      </c>
      <c r="E97" s="7" t="str">
        <f>VLOOKUP(B97,Sheet2!$G$2:$H$28,2,FALSE)</f>
        <v>서해구청역</v>
      </c>
      <c r="F97" s="2" t="str">
        <f>B97&amp;C97&amp;TEXT(D97,"000")</f>
        <v>210ES010</v>
      </c>
      <c r="G97" s="7" t="s">
        <v>68</v>
      </c>
      <c r="H97" s="7" t="s">
        <v>272</v>
      </c>
      <c r="I97" s="8">
        <f t="shared" si="3"/>
        <v>210</v>
      </c>
    </row>
    <row r="98" spans="1:9" x14ac:dyDescent="0.3">
      <c r="A98" s="7">
        <f t="shared" si="2"/>
        <v>97</v>
      </c>
      <c r="B98" s="7">
        <v>210</v>
      </c>
      <c r="C98" s="1" t="s">
        <v>208</v>
      </c>
      <c r="D98" s="2">
        <v>1</v>
      </c>
      <c r="E98" s="7" t="str">
        <f>VLOOKUP(B98,Sheet2!$G$2:$H$28,2,FALSE)</f>
        <v>서해구청역</v>
      </c>
      <c r="F98" s="2" t="str">
        <f>B98&amp;C98&amp;TEXT(D98,"000")</f>
        <v>210EL001</v>
      </c>
      <c r="G98" s="7" t="s">
        <v>274</v>
      </c>
      <c r="H98" s="7" t="s">
        <v>272</v>
      </c>
      <c r="I98" s="8">
        <f t="shared" si="3"/>
        <v>210</v>
      </c>
    </row>
    <row r="99" spans="1:9" x14ac:dyDescent="0.3">
      <c r="A99" s="7">
        <f t="shared" si="2"/>
        <v>98</v>
      </c>
      <c r="B99" s="7">
        <v>210</v>
      </c>
      <c r="C99" s="7" t="s">
        <v>208</v>
      </c>
      <c r="D99" s="2">
        <v>2</v>
      </c>
      <c r="E99" s="7" t="str">
        <f>VLOOKUP(B99,Sheet2!$G$2:$H$28,2,FALSE)</f>
        <v>서해구청역</v>
      </c>
      <c r="F99" s="2" t="str">
        <f>B99&amp;C99&amp;TEXT(D99,"000")</f>
        <v>210EL002</v>
      </c>
      <c r="G99" s="7" t="s">
        <v>275</v>
      </c>
      <c r="H99" s="7" t="s">
        <v>272</v>
      </c>
      <c r="I99" s="8">
        <f t="shared" si="3"/>
        <v>210</v>
      </c>
    </row>
    <row r="100" spans="1:9" x14ac:dyDescent="0.3">
      <c r="A100" s="7">
        <f t="shared" si="2"/>
        <v>99</v>
      </c>
      <c r="B100" s="7">
        <v>210</v>
      </c>
      <c r="C100" s="7" t="s">
        <v>208</v>
      </c>
      <c r="D100" s="2">
        <v>3</v>
      </c>
      <c r="E100" s="7" t="str">
        <f>VLOOKUP(B100,Sheet2!$G$2:$H$28,2,FALSE)</f>
        <v>서해구청역</v>
      </c>
      <c r="F100" s="2" t="str">
        <f>B100&amp;C100&amp;TEXT(D100,"000")</f>
        <v>210EL003</v>
      </c>
      <c r="G100" s="7" t="s">
        <v>276</v>
      </c>
      <c r="H100" s="7" t="s">
        <v>272</v>
      </c>
      <c r="I100" s="8">
        <f t="shared" si="3"/>
        <v>210</v>
      </c>
    </row>
    <row r="101" spans="1:9" x14ac:dyDescent="0.3">
      <c r="A101" s="7">
        <f t="shared" si="2"/>
        <v>100</v>
      </c>
      <c r="B101" s="7">
        <v>210</v>
      </c>
      <c r="C101" s="7" t="s">
        <v>208</v>
      </c>
      <c r="D101" s="2">
        <v>4</v>
      </c>
      <c r="E101" s="7" t="str">
        <f>VLOOKUP(B101,Sheet2!$G$2:$H$28,2,FALSE)</f>
        <v>서해구청역</v>
      </c>
      <c r="F101" s="2" t="str">
        <f>B101&amp;C101&amp;TEXT(D101,"000")</f>
        <v>210EL004</v>
      </c>
      <c r="G101" s="7" t="s">
        <v>277</v>
      </c>
      <c r="H101" s="7" t="s">
        <v>272</v>
      </c>
      <c r="I101" s="8">
        <f t="shared" si="3"/>
        <v>210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2431-2E23-440D-9E6A-8A7AE671B423}">
  <dimension ref="A1:H82"/>
  <sheetViews>
    <sheetView topLeftCell="A4" workbookViewId="0"/>
  </sheetViews>
  <sheetFormatPr defaultRowHeight="16.5" x14ac:dyDescent="0.3"/>
  <cols>
    <col min="1" max="1" width="17.25" style="1" bestFit="1" customWidth="1"/>
    <col min="2" max="2" width="17.125" style="1" bestFit="1" customWidth="1"/>
    <col min="3" max="3" width="46" style="1" bestFit="1" customWidth="1"/>
    <col min="4" max="4" width="13.375" style="1" bestFit="1" customWidth="1"/>
    <col min="5" max="5" width="11.625" style="1" bestFit="1" customWidth="1"/>
    <col min="7" max="7" width="4.5" bestFit="1" customWidth="1"/>
    <col min="8" max="8" width="17.25" bestFit="1" customWidth="1"/>
  </cols>
  <sheetData>
    <row r="1" spans="1:8" x14ac:dyDescent="0.3">
      <c r="A1" s="1" t="s">
        <v>109</v>
      </c>
      <c r="B1" s="1" t="s">
        <v>108</v>
      </c>
      <c r="C1" s="1" t="s">
        <v>5</v>
      </c>
      <c r="D1" s="1" t="s">
        <v>6</v>
      </c>
      <c r="E1" s="1" t="s">
        <v>110</v>
      </c>
      <c r="G1" s="9" t="s">
        <v>155</v>
      </c>
      <c r="H1" s="9"/>
    </row>
    <row r="2" spans="1:8" x14ac:dyDescent="0.3">
      <c r="A2" s="1" t="s">
        <v>137</v>
      </c>
      <c r="B2" s="1" t="s">
        <v>21</v>
      </c>
      <c r="C2" s="1" t="s">
        <v>59</v>
      </c>
      <c r="D2" s="1" t="s">
        <v>251</v>
      </c>
      <c r="E2" s="1" t="s">
        <v>111</v>
      </c>
      <c r="G2">
        <v>201</v>
      </c>
      <c r="H2" s="1" t="s">
        <v>126</v>
      </c>
    </row>
    <row r="3" spans="1:8" x14ac:dyDescent="0.3">
      <c r="A3" s="1" t="s">
        <v>137</v>
      </c>
      <c r="B3" s="1" t="s">
        <v>22</v>
      </c>
      <c r="C3" s="1" t="s">
        <v>60</v>
      </c>
      <c r="D3" s="1" t="s">
        <v>251</v>
      </c>
      <c r="E3" s="1" t="s">
        <v>112</v>
      </c>
      <c r="G3">
        <v>202</v>
      </c>
      <c r="H3" s="1" t="s">
        <v>127</v>
      </c>
    </row>
    <row r="4" spans="1:8" x14ac:dyDescent="0.3">
      <c r="A4" s="1" t="s">
        <v>137</v>
      </c>
      <c r="B4" s="1" t="s">
        <v>23</v>
      </c>
      <c r="C4" s="1" t="s">
        <v>61</v>
      </c>
      <c r="D4" s="1" t="s">
        <v>251</v>
      </c>
      <c r="E4" s="1" t="s">
        <v>113</v>
      </c>
      <c r="G4">
        <v>203</v>
      </c>
      <c r="H4" s="1" t="s">
        <v>128</v>
      </c>
    </row>
    <row r="5" spans="1:8" x14ac:dyDescent="0.3">
      <c r="A5" s="1" t="s">
        <v>137</v>
      </c>
      <c r="B5" s="1" t="s">
        <v>24</v>
      </c>
      <c r="C5" s="1" t="s">
        <v>62</v>
      </c>
      <c r="D5" s="1" t="s">
        <v>251</v>
      </c>
      <c r="E5" s="1" t="s">
        <v>114</v>
      </c>
      <c r="G5">
        <v>204</v>
      </c>
      <c r="H5" s="1" t="s">
        <v>129</v>
      </c>
    </row>
    <row r="6" spans="1:8" x14ac:dyDescent="0.3">
      <c r="A6" s="1" t="s">
        <v>137</v>
      </c>
      <c r="B6" s="1" t="s">
        <v>25</v>
      </c>
      <c r="C6" s="1" t="s">
        <v>63</v>
      </c>
      <c r="D6" s="1" t="s">
        <v>251</v>
      </c>
      <c r="E6" s="1" t="s">
        <v>113</v>
      </c>
      <c r="G6">
        <v>205</v>
      </c>
      <c r="H6" s="1" t="s">
        <v>130</v>
      </c>
    </row>
    <row r="7" spans="1:8" x14ac:dyDescent="0.3">
      <c r="A7" s="1" t="s">
        <v>137</v>
      </c>
      <c r="B7" s="1" t="s">
        <v>26</v>
      </c>
      <c r="C7" s="1" t="s">
        <v>64</v>
      </c>
      <c r="D7" s="1" t="s">
        <v>251</v>
      </c>
      <c r="E7" s="1" t="s">
        <v>115</v>
      </c>
      <c r="G7">
        <v>206</v>
      </c>
      <c r="H7" s="1" t="s">
        <v>131</v>
      </c>
    </row>
    <row r="8" spans="1:8" x14ac:dyDescent="0.3">
      <c r="A8" s="1" t="s">
        <v>137</v>
      </c>
      <c r="B8" s="1" t="s">
        <v>27</v>
      </c>
      <c r="C8" s="1" t="s">
        <v>65</v>
      </c>
      <c r="D8" s="1" t="s">
        <v>251</v>
      </c>
      <c r="E8" s="1" t="s">
        <v>111</v>
      </c>
      <c r="G8">
        <v>207</v>
      </c>
      <c r="H8" s="1" t="s">
        <v>132</v>
      </c>
    </row>
    <row r="9" spans="1:8" x14ac:dyDescent="0.3">
      <c r="A9" s="1" t="s">
        <v>137</v>
      </c>
      <c r="B9" s="1" t="s">
        <v>28</v>
      </c>
      <c r="C9" s="1" t="s">
        <v>66</v>
      </c>
      <c r="D9" s="1" t="s">
        <v>251</v>
      </c>
      <c r="E9" s="1" t="s">
        <v>116</v>
      </c>
      <c r="G9">
        <v>208</v>
      </c>
      <c r="H9" s="1" t="s">
        <v>133</v>
      </c>
    </row>
    <row r="10" spans="1:8" x14ac:dyDescent="0.3">
      <c r="A10" s="1" t="s">
        <v>137</v>
      </c>
      <c r="B10" s="1" t="s">
        <v>29</v>
      </c>
      <c r="C10" s="1" t="s">
        <v>67</v>
      </c>
      <c r="D10" s="1" t="s">
        <v>251</v>
      </c>
      <c r="E10" s="1" t="s">
        <v>111</v>
      </c>
      <c r="G10">
        <v>209</v>
      </c>
      <c r="H10" s="1" t="s">
        <v>135</v>
      </c>
    </row>
    <row r="11" spans="1:8" x14ac:dyDescent="0.3">
      <c r="A11" s="1" t="s">
        <v>137</v>
      </c>
      <c r="B11" s="1" t="s">
        <v>30</v>
      </c>
      <c r="C11" s="1" t="s">
        <v>68</v>
      </c>
      <c r="D11" s="1" t="s">
        <v>251</v>
      </c>
      <c r="E11" s="1" t="s">
        <v>111</v>
      </c>
      <c r="G11">
        <v>210</v>
      </c>
      <c r="H11" s="1" t="s">
        <v>136</v>
      </c>
    </row>
    <row r="12" spans="1:8" x14ac:dyDescent="0.3">
      <c r="A12" s="1" t="s">
        <v>137</v>
      </c>
      <c r="B12" s="1" t="s">
        <v>31</v>
      </c>
      <c r="C12" s="1" t="s">
        <v>69</v>
      </c>
      <c r="D12" s="1" t="s">
        <v>251</v>
      </c>
      <c r="E12" s="1" t="s">
        <v>113</v>
      </c>
      <c r="G12">
        <v>211</v>
      </c>
      <c r="H12" s="1" t="s">
        <v>107</v>
      </c>
    </row>
    <row r="13" spans="1:8" x14ac:dyDescent="0.3">
      <c r="A13" s="1" t="s">
        <v>137</v>
      </c>
      <c r="B13" s="1" t="s">
        <v>32</v>
      </c>
      <c r="C13" s="1" t="s">
        <v>70</v>
      </c>
      <c r="D13" s="1" t="s">
        <v>251</v>
      </c>
      <c r="E13" s="1" t="s">
        <v>113</v>
      </c>
      <c r="G13">
        <v>212</v>
      </c>
      <c r="H13" s="1" t="s">
        <v>139</v>
      </c>
    </row>
    <row r="14" spans="1:8" x14ac:dyDescent="0.3">
      <c r="A14" s="1" t="s">
        <v>137</v>
      </c>
      <c r="B14" s="1" t="s">
        <v>33</v>
      </c>
      <c r="C14" s="1" t="s">
        <v>71</v>
      </c>
      <c r="D14" s="1" t="s">
        <v>251</v>
      </c>
      <c r="E14" s="1" t="s">
        <v>117</v>
      </c>
      <c r="G14">
        <v>213</v>
      </c>
      <c r="H14" s="1" t="s">
        <v>140</v>
      </c>
    </row>
    <row r="15" spans="1:8" x14ac:dyDescent="0.3">
      <c r="A15" s="1" t="s">
        <v>137</v>
      </c>
      <c r="B15" s="1" t="s">
        <v>34</v>
      </c>
      <c r="C15" s="1" t="s">
        <v>72</v>
      </c>
      <c r="D15" s="1" t="s">
        <v>251</v>
      </c>
      <c r="E15" s="1" t="s">
        <v>117</v>
      </c>
      <c r="G15">
        <v>214</v>
      </c>
      <c r="H15" s="1" t="s">
        <v>141</v>
      </c>
    </row>
    <row r="16" spans="1:8" x14ac:dyDescent="0.3">
      <c r="A16" s="1" t="s">
        <v>137</v>
      </c>
      <c r="B16" s="1" t="s">
        <v>35</v>
      </c>
      <c r="C16" s="1" t="s">
        <v>73</v>
      </c>
      <c r="D16" s="1" t="s">
        <v>251</v>
      </c>
      <c r="E16" s="1" t="s">
        <v>118</v>
      </c>
      <c r="G16">
        <v>215</v>
      </c>
      <c r="H16" s="1" t="s">
        <v>142</v>
      </c>
    </row>
    <row r="17" spans="1:8" x14ac:dyDescent="0.3">
      <c r="A17" s="1" t="s">
        <v>137</v>
      </c>
      <c r="B17" s="1" t="s">
        <v>36</v>
      </c>
      <c r="C17" s="1" t="s">
        <v>74</v>
      </c>
      <c r="D17" s="1" t="s">
        <v>251</v>
      </c>
      <c r="E17" s="1" t="s">
        <v>118</v>
      </c>
      <c r="G17">
        <v>216</v>
      </c>
      <c r="H17" s="1" t="s">
        <v>143</v>
      </c>
    </row>
    <row r="18" spans="1:8" x14ac:dyDescent="0.3">
      <c r="A18" s="1" t="s">
        <v>137</v>
      </c>
      <c r="B18" s="1" t="s">
        <v>37</v>
      </c>
      <c r="C18" s="1" t="s">
        <v>75</v>
      </c>
      <c r="D18" s="1" t="s">
        <v>251</v>
      </c>
      <c r="E18" s="1" t="s">
        <v>119</v>
      </c>
      <c r="G18">
        <v>217</v>
      </c>
      <c r="H18" s="1" t="s">
        <v>144</v>
      </c>
    </row>
    <row r="19" spans="1:8" x14ac:dyDescent="0.3">
      <c r="A19" s="1" t="s">
        <v>137</v>
      </c>
      <c r="B19" s="1" t="s">
        <v>38</v>
      </c>
      <c r="C19" s="1" t="s">
        <v>76</v>
      </c>
      <c r="D19" s="1" t="s">
        <v>251</v>
      </c>
      <c r="E19" s="1" t="s">
        <v>119</v>
      </c>
      <c r="G19">
        <v>218</v>
      </c>
      <c r="H19" s="1" t="s">
        <v>145</v>
      </c>
    </row>
    <row r="20" spans="1:8" x14ac:dyDescent="0.3">
      <c r="A20" s="1" t="s">
        <v>137</v>
      </c>
      <c r="B20" s="1" t="s">
        <v>172</v>
      </c>
      <c r="C20" s="1" t="s">
        <v>77</v>
      </c>
      <c r="D20" s="1" t="s">
        <v>251</v>
      </c>
      <c r="E20" s="1" t="s">
        <v>117</v>
      </c>
      <c r="G20">
        <v>219</v>
      </c>
      <c r="H20" s="1" t="s">
        <v>146</v>
      </c>
    </row>
    <row r="21" spans="1:8" x14ac:dyDescent="0.3">
      <c r="A21" s="1" t="s">
        <v>137</v>
      </c>
      <c r="B21" s="1" t="s">
        <v>173</v>
      </c>
      <c r="C21" s="1" t="s">
        <v>78</v>
      </c>
      <c r="D21" s="1" t="s">
        <v>251</v>
      </c>
      <c r="E21" s="1" t="s">
        <v>118</v>
      </c>
      <c r="G21">
        <v>220</v>
      </c>
      <c r="H21" s="1" t="s">
        <v>147</v>
      </c>
    </row>
    <row r="22" spans="1:8" x14ac:dyDescent="0.3">
      <c r="A22" s="1" t="s">
        <v>137</v>
      </c>
      <c r="B22" s="1" t="s">
        <v>174</v>
      </c>
      <c r="C22" s="1" t="s">
        <v>79</v>
      </c>
      <c r="D22" s="1" t="s">
        <v>251</v>
      </c>
      <c r="E22" s="1" t="s">
        <v>118</v>
      </c>
      <c r="G22">
        <v>221</v>
      </c>
      <c r="H22" s="1" t="s">
        <v>148</v>
      </c>
    </row>
    <row r="23" spans="1:8" x14ac:dyDescent="0.3">
      <c r="A23" s="1" t="s">
        <v>137</v>
      </c>
      <c r="B23" s="1" t="s">
        <v>175</v>
      </c>
      <c r="C23" s="1" t="s">
        <v>80</v>
      </c>
      <c r="D23" s="1" t="s">
        <v>251</v>
      </c>
      <c r="E23" s="1" t="s">
        <v>117</v>
      </c>
      <c r="G23">
        <v>222</v>
      </c>
      <c r="H23" s="1" t="s">
        <v>149</v>
      </c>
    </row>
    <row r="24" spans="1:8" x14ac:dyDescent="0.3">
      <c r="A24" s="1" t="s">
        <v>137</v>
      </c>
      <c r="B24" s="1" t="s">
        <v>176</v>
      </c>
      <c r="C24" s="1" t="s">
        <v>81</v>
      </c>
      <c r="D24" s="1" t="s">
        <v>251</v>
      </c>
      <c r="E24" s="1" t="s">
        <v>117</v>
      </c>
      <c r="G24">
        <v>223</v>
      </c>
      <c r="H24" s="1" t="s">
        <v>150</v>
      </c>
    </row>
    <row r="25" spans="1:8" x14ac:dyDescent="0.3">
      <c r="A25" s="1" t="s">
        <v>137</v>
      </c>
      <c r="B25" s="1" t="s">
        <v>177</v>
      </c>
      <c r="C25" s="1" t="s">
        <v>82</v>
      </c>
      <c r="D25" s="1" t="s">
        <v>251</v>
      </c>
      <c r="E25" s="1" t="s">
        <v>117</v>
      </c>
      <c r="G25">
        <v>224</v>
      </c>
      <c r="H25" s="1" t="s">
        <v>151</v>
      </c>
    </row>
    <row r="26" spans="1:8" x14ac:dyDescent="0.3">
      <c r="A26" s="1" t="s">
        <v>137</v>
      </c>
      <c r="B26" s="1" t="s">
        <v>178</v>
      </c>
      <c r="C26" s="1" t="s">
        <v>83</v>
      </c>
      <c r="D26" s="1" t="s">
        <v>251</v>
      </c>
      <c r="E26" s="1" t="s">
        <v>120</v>
      </c>
      <c r="G26">
        <v>225</v>
      </c>
      <c r="H26" s="1" t="s">
        <v>152</v>
      </c>
    </row>
    <row r="27" spans="1:8" x14ac:dyDescent="0.3">
      <c r="A27" s="1" t="s">
        <v>137</v>
      </c>
      <c r="B27" s="1" t="s">
        <v>179</v>
      </c>
      <c r="C27" s="1" t="s">
        <v>84</v>
      </c>
      <c r="D27" s="1" t="s">
        <v>251</v>
      </c>
      <c r="E27" s="1" t="s">
        <v>120</v>
      </c>
      <c r="G27">
        <v>226</v>
      </c>
      <c r="H27" s="1" t="s">
        <v>153</v>
      </c>
    </row>
    <row r="28" spans="1:8" x14ac:dyDescent="0.3">
      <c r="A28" s="1" t="s">
        <v>137</v>
      </c>
      <c r="B28" s="1" t="s">
        <v>180</v>
      </c>
      <c r="C28" s="1" t="s">
        <v>85</v>
      </c>
      <c r="D28" s="1" t="s">
        <v>251</v>
      </c>
      <c r="E28" s="1" t="s">
        <v>121</v>
      </c>
      <c r="G28">
        <v>227</v>
      </c>
      <c r="H28" s="1" t="s">
        <v>154</v>
      </c>
    </row>
    <row r="29" spans="1:8" x14ac:dyDescent="0.3">
      <c r="A29" s="1" t="s">
        <v>137</v>
      </c>
      <c r="B29" s="1" t="s">
        <v>181</v>
      </c>
      <c r="C29" s="1" t="s">
        <v>86</v>
      </c>
      <c r="D29" s="1" t="s">
        <v>251</v>
      </c>
      <c r="E29" s="1" t="s">
        <v>121</v>
      </c>
    </row>
    <row r="30" spans="1:8" x14ac:dyDescent="0.3">
      <c r="A30" s="1" t="s">
        <v>137</v>
      </c>
      <c r="B30" s="1" t="s">
        <v>39</v>
      </c>
      <c r="C30" s="1" t="s">
        <v>87</v>
      </c>
      <c r="D30" s="1" t="s">
        <v>251</v>
      </c>
      <c r="E30" s="1" t="s">
        <v>122</v>
      </c>
    </row>
    <row r="31" spans="1:8" x14ac:dyDescent="0.3">
      <c r="A31" s="1" t="s">
        <v>137</v>
      </c>
      <c r="B31" s="1" t="s">
        <v>40</v>
      </c>
      <c r="C31" s="1" t="s">
        <v>88</v>
      </c>
      <c r="D31" s="1" t="s">
        <v>251</v>
      </c>
      <c r="E31" s="1" t="s">
        <v>123</v>
      </c>
    </row>
    <row r="32" spans="1:8" x14ac:dyDescent="0.3">
      <c r="A32" s="1" t="s">
        <v>137</v>
      </c>
      <c r="B32" s="1" t="s">
        <v>41</v>
      </c>
      <c r="C32" s="1" t="s">
        <v>89</v>
      </c>
      <c r="D32" s="1" t="s">
        <v>251</v>
      </c>
      <c r="E32" s="1" t="s">
        <v>123</v>
      </c>
    </row>
    <row r="33" spans="1:5" x14ac:dyDescent="0.3">
      <c r="A33" s="1" t="s">
        <v>137</v>
      </c>
      <c r="B33" s="1" t="s">
        <v>42</v>
      </c>
      <c r="C33" s="1" t="s">
        <v>90</v>
      </c>
      <c r="D33" s="1" t="s">
        <v>251</v>
      </c>
      <c r="E33" s="1" t="s">
        <v>124</v>
      </c>
    </row>
    <row r="34" spans="1:5" x14ac:dyDescent="0.3">
      <c r="A34" s="1" t="s">
        <v>137</v>
      </c>
      <c r="B34" s="1" t="s">
        <v>43</v>
      </c>
      <c r="C34" s="1" t="s">
        <v>91</v>
      </c>
      <c r="D34" s="1" t="s">
        <v>251</v>
      </c>
      <c r="E34" s="1" t="s">
        <v>124</v>
      </c>
    </row>
    <row r="35" spans="1:5" x14ac:dyDescent="0.3">
      <c r="A35" s="1" t="s">
        <v>137</v>
      </c>
      <c r="B35" s="1" t="s">
        <v>44</v>
      </c>
      <c r="C35" s="1" t="s">
        <v>92</v>
      </c>
      <c r="D35" s="1" t="s">
        <v>251</v>
      </c>
      <c r="E35" s="1" t="s">
        <v>119</v>
      </c>
    </row>
    <row r="36" spans="1:5" x14ac:dyDescent="0.3">
      <c r="A36" s="1" t="s">
        <v>137</v>
      </c>
      <c r="B36" s="1" t="s">
        <v>45</v>
      </c>
      <c r="C36" s="1" t="s">
        <v>93</v>
      </c>
      <c r="D36" s="1" t="s">
        <v>251</v>
      </c>
      <c r="E36" s="1" t="s">
        <v>119</v>
      </c>
    </row>
    <row r="37" spans="1:5" x14ac:dyDescent="0.3">
      <c r="A37" s="1" t="s">
        <v>137</v>
      </c>
      <c r="B37" s="1" t="s">
        <v>46</v>
      </c>
      <c r="C37" s="1" t="s">
        <v>94</v>
      </c>
      <c r="D37" s="1" t="s">
        <v>251</v>
      </c>
      <c r="E37" s="1" t="s">
        <v>122</v>
      </c>
    </row>
    <row r="38" spans="1:5" x14ac:dyDescent="0.3">
      <c r="A38" s="1" t="s">
        <v>137</v>
      </c>
      <c r="B38" s="1" t="s">
        <v>47</v>
      </c>
      <c r="C38" s="1" t="s">
        <v>95</v>
      </c>
      <c r="D38" s="1" t="s">
        <v>251</v>
      </c>
      <c r="E38" s="1" t="s">
        <v>119</v>
      </c>
    </row>
    <row r="39" spans="1:5" x14ac:dyDescent="0.3">
      <c r="A39" s="1" t="s">
        <v>137</v>
      </c>
      <c r="B39" s="1" t="s">
        <v>48</v>
      </c>
      <c r="C39" s="1" t="s">
        <v>96</v>
      </c>
      <c r="D39" s="1" t="s">
        <v>251</v>
      </c>
      <c r="E39" s="1" t="s">
        <v>119</v>
      </c>
    </row>
    <row r="40" spans="1:5" x14ac:dyDescent="0.3">
      <c r="A40" s="1" t="s">
        <v>137</v>
      </c>
      <c r="B40" s="1" t="s">
        <v>49</v>
      </c>
      <c r="C40" s="1" t="s">
        <v>97</v>
      </c>
      <c r="D40" s="1" t="s">
        <v>251</v>
      </c>
      <c r="E40" s="1" t="s">
        <v>124</v>
      </c>
    </row>
    <row r="41" spans="1:5" x14ac:dyDescent="0.3">
      <c r="A41" s="1" t="s">
        <v>137</v>
      </c>
      <c r="B41" s="1" t="s">
        <v>50</v>
      </c>
      <c r="C41" s="1" t="s">
        <v>98</v>
      </c>
      <c r="D41" s="1" t="s">
        <v>251</v>
      </c>
      <c r="E41" s="1" t="s">
        <v>124</v>
      </c>
    </row>
    <row r="42" spans="1:5" x14ac:dyDescent="0.3">
      <c r="A42" s="1" t="s">
        <v>137</v>
      </c>
      <c r="B42" s="1" t="s">
        <v>51</v>
      </c>
      <c r="C42" s="1" t="s">
        <v>99</v>
      </c>
      <c r="D42" s="1" t="s">
        <v>251</v>
      </c>
      <c r="E42" s="1" t="s">
        <v>112</v>
      </c>
    </row>
    <row r="43" spans="1:5" x14ac:dyDescent="0.3">
      <c r="A43" s="1" t="s">
        <v>137</v>
      </c>
      <c r="B43" s="1" t="s">
        <v>52</v>
      </c>
      <c r="C43" s="1" t="s">
        <v>100</v>
      </c>
      <c r="D43" s="1" t="s">
        <v>251</v>
      </c>
      <c r="E43" s="1" t="s">
        <v>120</v>
      </c>
    </row>
    <row r="44" spans="1:5" x14ac:dyDescent="0.3">
      <c r="A44" s="1" t="s">
        <v>137</v>
      </c>
      <c r="B44" s="1" t="s">
        <v>53</v>
      </c>
      <c r="C44" s="1" t="s">
        <v>101</v>
      </c>
      <c r="D44" s="1" t="s">
        <v>251</v>
      </c>
      <c r="E44" s="1" t="s">
        <v>114</v>
      </c>
    </row>
    <row r="45" spans="1:5" x14ac:dyDescent="0.3">
      <c r="A45" s="1" t="s">
        <v>137</v>
      </c>
      <c r="B45" s="1" t="s">
        <v>54</v>
      </c>
      <c r="C45" s="1" t="s">
        <v>102</v>
      </c>
      <c r="D45" s="1" t="s">
        <v>251</v>
      </c>
      <c r="E45" s="1" t="s">
        <v>115</v>
      </c>
    </row>
    <row r="46" spans="1:5" x14ac:dyDescent="0.3">
      <c r="A46" s="1" t="s">
        <v>137</v>
      </c>
      <c r="B46" s="1" t="s">
        <v>55</v>
      </c>
      <c r="C46" s="1" t="s">
        <v>103</v>
      </c>
      <c r="D46" s="1" t="s">
        <v>251</v>
      </c>
      <c r="E46" s="1" t="s">
        <v>121</v>
      </c>
    </row>
    <row r="47" spans="1:5" x14ac:dyDescent="0.3">
      <c r="A47" s="1" t="s">
        <v>137</v>
      </c>
      <c r="B47" s="1" t="s">
        <v>56</v>
      </c>
      <c r="C47" s="1" t="s">
        <v>104</v>
      </c>
      <c r="D47" s="1" t="s">
        <v>251</v>
      </c>
      <c r="E47" s="1" t="s">
        <v>116</v>
      </c>
    </row>
    <row r="48" spans="1:5" x14ac:dyDescent="0.3">
      <c r="A48" s="1" t="s">
        <v>137</v>
      </c>
      <c r="B48" s="1" t="s">
        <v>57</v>
      </c>
      <c r="C48" s="1" t="s">
        <v>105</v>
      </c>
      <c r="D48" s="1" t="s">
        <v>251</v>
      </c>
      <c r="E48" s="1" t="s">
        <v>117</v>
      </c>
    </row>
    <row r="49" spans="1:5" x14ac:dyDescent="0.3">
      <c r="A49" s="1" t="s">
        <v>137</v>
      </c>
      <c r="B49" s="1" t="s">
        <v>58</v>
      </c>
      <c r="C49" s="1" t="s">
        <v>106</v>
      </c>
      <c r="D49" s="1" t="s">
        <v>251</v>
      </c>
      <c r="E49" s="1" t="s">
        <v>118</v>
      </c>
    </row>
    <row r="50" spans="1:5" x14ac:dyDescent="0.3">
      <c r="A50" s="1" t="s">
        <v>134</v>
      </c>
      <c r="B50" s="1" t="s">
        <v>182</v>
      </c>
      <c r="C50" s="1" t="s">
        <v>156</v>
      </c>
      <c r="D50" s="1" t="s">
        <v>204</v>
      </c>
      <c r="E50" s="1" t="s">
        <v>252</v>
      </c>
    </row>
    <row r="51" spans="1:5" x14ac:dyDescent="0.3">
      <c r="A51" s="1" t="s">
        <v>134</v>
      </c>
      <c r="B51" s="1" t="s">
        <v>183</v>
      </c>
      <c r="C51" s="1" t="s">
        <v>157</v>
      </c>
      <c r="D51" s="1" t="s">
        <v>204</v>
      </c>
      <c r="E51" s="1" t="s">
        <v>253</v>
      </c>
    </row>
    <row r="52" spans="1:5" x14ac:dyDescent="0.3">
      <c r="A52" s="1" t="s">
        <v>134</v>
      </c>
      <c r="B52" s="1" t="s">
        <v>184</v>
      </c>
      <c r="C52" s="1" t="s">
        <v>158</v>
      </c>
      <c r="D52" s="1" t="s">
        <v>204</v>
      </c>
      <c r="E52" s="1" t="s">
        <v>254</v>
      </c>
    </row>
    <row r="53" spans="1:5" x14ac:dyDescent="0.3">
      <c r="A53" s="1" t="s">
        <v>134</v>
      </c>
      <c r="B53" s="1" t="s">
        <v>185</v>
      </c>
      <c r="C53" s="1" t="s">
        <v>159</v>
      </c>
      <c r="D53" s="1" t="s">
        <v>204</v>
      </c>
      <c r="E53" s="1" t="s">
        <v>253</v>
      </c>
    </row>
    <row r="54" spans="1:5" x14ac:dyDescent="0.3">
      <c r="A54" s="1" t="s">
        <v>134</v>
      </c>
      <c r="B54" s="1" t="s">
        <v>186</v>
      </c>
      <c r="C54" s="1" t="s">
        <v>160</v>
      </c>
      <c r="D54" s="1" t="s">
        <v>204</v>
      </c>
      <c r="E54" s="1" t="s">
        <v>255</v>
      </c>
    </row>
    <row r="55" spans="1:5" x14ac:dyDescent="0.3">
      <c r="A55" s="1" t="s">
        <v>134</v>
      </c>
      <c r="B55" s="1" t="s">
        <v>187</v>
      </c>
      <c r="C55" s="1" t="s">
        <v>161</v>
      </c>
      <c r="D55" s="1" t="s">
        <v>204</v>
      </c>
      <c r="E55" s="1" t="s">
        <v>255</v>
      </c>
    </row>
    <row r="56" spans="1:5" x14ac:dyDescent="0.3">
      <c r="A56" s="1" t="s">
        <v>134</v>
      </c>
      <c r="B56" s="1" t="s">
        <v>188</v>
      </c>
      <c r="C56" s="1" t="s">
        <v>162</v>
      </c>
      <c r="D56" s="1" t="s">
        <v>204</v>
      </c>
      <c r="E56" s="1" t="s">
        <v>256</v>
      </c>
    </row>
    <row r="57" spans="1:5" x14ac:dyDescent="0.3">
      <c r="A57" s="1" t="s">
        <v>134</v>
      </c>
      <c r="B57" s="1" t="s">
        <v>189</v>
      </c>
      <c r="C57" s="1" t="s">
        <v>163</v>
      </c>
      <c r="D57" s="1" t="s">
        <v>204</v>
      </c>
      <c r="E57" s="1" t="s">
        <v>256</v>
      </c>
    </row>
    <row r="58" spans="1:5" x14ac:dyDescent="0.3">
      <c r="A58" s="1" t="s">
        <v>134</v>
      </c>
      <c r="B58" s="1" t="s">
        <v>190</v>
      </c>
      <c r="C58" s="1" t="s">
        <v>164</v>
      </c>
      <c r="D58" s="1" t="s">
        <v>204</v>
      </c>
      <c r="E58" s="1" t="s">
        <v>253</v>
      </c>
    </row>
    <row r="59" spans="1:5" x14ac:dyDescent="0.3">
      <c r="A59" s="1" t="s">
        <v>134</v>
      </c>
      <c r="B59" s="1" t="s">
        <v>191</v>
      </c>
      <c r="C59" s="1" t="s">
        <v>165</v>
      </c>
      <c r="D59" s="1" t="s">
        <v>204</v>
      </c>
      <c r="E59" s="1" t="s">
        <v>257</v>
      </c>
    </row>
    <row r="60" spans="1:5" x14ac:dyDescent="0.3">
      <c r="A60" s="1" t="s">
        <v>134</v>
      </c>
      <c r="B60" s="1" t="s">
        <v>192</v>
      </c>
      <c r="C60" s="1" t="s">
        <v>166</v>
      </c>
      <c r="D60" s="1" t="s">
        <v>204</v>
      </c>
      <c r="E60" s="1" t="s">
        <v>257</v>
      </c>
    </row>
    <row r="61" spans="1:5" x14ac:dyDescent="0.3">
      <c r="A61" s="1" t="s">
        <v>134</v>
      </c>
      <c r="B61" s="1" t="s">
        <v>193</v>
      </c>
      <c r="C61" s="1" t="s">
        <v>167</v>
      </c>
      <c r="D61" s="1" t="s">
        <v>204</v>
      </c>
      <c r="E61" s="1" t="s">
        <v>258</v>
      </c>
    </row>
    <row r="62" spans="1:5" x14ac:dyDescent="0.3">
      <c r="A62" s="1" t="s">
        <v>134</v>
      </c>
      <c r="B62" s="1" t="s">
        <v>194</v>
      </c>
      <c r="C62" s="1" t="s">
        <v>200</v>
      </c>
      <c r="D62" s="1" t="s">
        <v>204</v>
      </c>
      <c r="E62" s="1" t="s">
        <v>255</v>
      </c>
    </row>
    <row r="63" spans="1:5" x14ac:dyDescent="0.3">
      <c r="A63" s="1" t="s">
        <v>134</v>
      </c>
      <c r="B63" s="1" t="s">
        <v>195</v>
      </c>
      <c r="C63" s="1" t="s">
        <v>202</v>
      </c>
      <c r="D63" s="1" t="s">
        <v>204</v>
      </c>
      <c r="E63" s="1" t="s">
        <v>256</v>
      </c>
    </row>
    <row r="64" spans="1:5" x14ac:dyDescent="0.3">
      <c r="A64" s="1" t="s">
        <v>134</v>
      </c>
      <c r="B64" s="1" t="s">
        <v>196</v>
      </c>
      <c r="C64" s="1" t="s">
        <v>168</v>
      </c>
      <c r="D64" s="1" t="s">
        <v>204</v>
      </c>
      <c r="E64" s="1" t="s">
        <v>255</v>
      </c>
    </row>
    <row r="65" spans="1:5" x14ac:dyDescent="0.3">
      <c r="A65" s="1" t="s">
        <v>134</v>
      </c>
      <c r="B65" s="1" t="s">
        <v>197</v>
      </c>
      <c r="C65" s="1" t="s">
        <v>169</v>
      </c>
      <c r="D65" s="1" t="s">
        <v>204</v>
      </c>
      <c r="E65" s="1" t="s">
        <v>255</v>
      </c>
    </row>
    <row r="66" spans="1:5" x14ac:dyDescent="0.3">
      <c r="A66" s="1" t="s">
        <v>134</v>
      </c>
      <c r="B66" s="1" t="s">
        <v>198</v>
      </c>
      <c r="C66" s="1" t="s">
        <v>170</v>
      </c>
      <c r="D66" s="1" t="s">
        <v>204</v>
      </c>
      <c r="E66" s="1" t="s">
        <v>256</v>
      </c>
    </row>
    <row r="67" spans="1:5" x14ac:dyDescent="0.3">
      <c r="A67" s="1" t="s">
        <v>134</v>
      </c>
      <c r="B67" s="1" t="s">
        <v>199</v>
      </c>
      <c r="C67" s="1" t="s">
        <v>171</v>
      </c>
      <c r="D67" s="1" t="s">
        <v>204</v>
      </c>
      <c r="E67" s="1" t="s">
        <v>256</v>
      </c>
    </row>
    <row r="68" spans="1:5" x14ac:dyDescent="0.3">
      <c r="A68" s="1" t="s">
        <v>138</v>
      </c>
      <c r="B68" s="1" t="s">
        <v>233</v>
      </c>
      <c r="C68" s="1" t="s">
        <v>212</v>
      </c>
      <c r="D68" s="1" t="s">
        <v>231</v>
      </c>
      <c r="E68" s="1" t="s">
        <v>259</v>
      </c>
    </row>
    <row r="69" spans="1:5" x14ac:dyDescent="0.3">
      <c r="A69" s="1" t="s">
        <v>138</v>
      </c>
      <c r="B69" s="1" t="s">
        <v>234</v>
      </c>
      <c r="C69" s="1" t="s">
        <v>214</v>
      </c>
      <c r="D69" s="1" t="s">
        <v>231</v>
      </c>
      <c r="E69" s="1" t="s">
        <v>260</v>
      </c>
    </row>
    <row r="70" spans="1:5" x14ac:dyDescent="0.3">
      <c r="A70" s="1" t="s">
        <v>138</v>
      </c>
      <c r="B70" s="1" t="s">
        <v>235</v>
      </c>
      <c r="C70" s="1" t="s">
        <v>215</v>
      </c>
      <c r="D70" s="1" t="s">
        <v>231</v>
      </c>
      <c r="E70" s="1" t="s">
        <v>261</v>
      </c>
    </row>
    <row r="71" spans="1:5" x14ac:dyDescent="0.3">
      <c r="A71" s="1" t="s">
        <v>138</v>
      </c>
      <c r="B71" s="1" t="s">
        <v>236</v>
      </c>
      <c r="C71" s="1" t="s">
        <v>216</v>
      </c>
      <c r="D71" s="1" t="s">
        <v>231</v>
      </c>
      <c r="E71" s="1" t="s">
        <v>260</v>
      </c>
    </row>
    <row r="72" spans="1:5" x14ac:dyDescent="0.3">
      <c r="A72" s="1" t="s">
        <v>138</v>
      </c>
      <c r="B72" s="1" t="s">
        <v>237</v>
      </c>
      <c r="C72" s="1" t="s">
        <v>217</v>
      </c>
      <c r="D72" s="1" t="s">
        <v>231</v>
      </c>
      <c r="E72" s="1" t="s">
        <v>262</v>
      </c>
    </row>
    <row r="73" spans="1:5" x14ac:dyDescent="0.3">
      <c r="A73" s="1" t="s">
        <v>138</v>
      </c>
      <c r="B73" s="1" t="s">
        <v>238</v>
      </c>
      <c r="C73" s="1" t="s">
        <v>218</v>
      </c>
      <c r="D73" s="1" t="s">
        <v>231</v>
      </c>
      <c r="E73" s="1" t="s">
        <v>262</v>
      </c>
    </row>
    <row r="74" spans="1:5" x14ac:dyDescent="0.3">
      <c r="A74" s="1" t="s">
        <v>138</v>
      </c>
      <c r="B74" s="1" t="s">
        <v>239</v>
      </c>
      <c r="C74" s="1" t="s">
        <v>219</v>
      </c>
      <c r="D74" s="1" t="s">
        <v>231</v>
      </c>
      <c r="E74" s="1" t="s">
        <v>263</v>
      </c>
    </row>
    <row r="75" spans="1:5" x14ac:dyDescent="0.3">
      <c r="A75" s="1" t="s">
        <v>138</v>
      </c>
      <c r="B75" s="1" t="s">
        <v>240</v>
      </c>
      <c r="C75" s="1" t="s">
        <v>221</v>
      </c>
      <c r="D75" s="1" t="s">
        <v>231</v>
      </c>
      <c r="E75" s="1" t="s">
        <v>264</v>
      </c>
    </row>
    <row r="76" spans="1:5" x14ac:dyDescent="0.3">
      <c r="A76" s="1" t="s">
        <v>138</v>
      </c>
      <c r="B76" s="1" t="s">
        <v>241</v>
      </c>
      <c r="C76" s="1" t="s">
        <v>222</v>
      </c>
      <c r="D76" s="1" t="s">
        <v>231</v>
      </c>
      <c r="E76" s="1" t="s">
        <v>262</v>
      </c>
    </row>
    <row r="77" spans="1:5" x14ac:dyDescent="0.3">
      <c r="A77" s="1" t="s">
        <v>138</v>
      </c>
      <c r="B77" s="1" t="s">
        <v>242</v>
      </c>
      <c r="C77" s="1" t="s">
        <v>223</v>
      </c>
      <c r="D77" s="1" t="s">
        <v>231</v>
      </c>
      <c r="E77" s="1" t="s">
        <v>265</v>
      </c>
    </row>
    <row r="78" spans="1:5" x14ac:dyDescent="0.3">
      <c r="A78" s="1" t="s">
        <v>138</v>
      </c>
      <c r="B78" s="1" t="s">
        <v>243</v>
      </c>
      <c r="C78" s="1" t="s">
        <v>224</v>
      </c>
      <c r="D78" s="1" t="s">
        <v>231</v>
      </c>
      <c r="E78" s="1" t="s">
        <v>265</v>
      </c>
    </row>
    <row r="79" spans="1:5" x14ac:dyDescent="0.3">
      <c r="A79" s="1" t="s">
        <v>138</v>
      </c>
      <c r="B79" s="1" t="s">
        <v>244</v>
      </c>
      <c r="C79" s="1" t="s">
        <v>227</v>
      </c>
      <c r="D79" s="1" t="s">
        <v>231</v>
      </c>
      <c r="E79" s="1" t="s">
        <v>262</v>
      </c>
    </row>
    <row r="80" spans="1:5" x14ac:dyDescent="0.3">
      <c r="A80" s="1" t="s">
        <v>138</v>
      </c>
      <c r="B80" s="1" t="s">
        <v>245</v>
      </c>
      <c r="C80" s="1" t="s">
        <v>229</v>
      </c>
      <c r="D80" s="1" t="s">
        <v>231</v>
      </c>
      <c r="E80" s="1" t="s">
        <v>262</v>
      </c>
    </row>
    <row r="81" spans="1:5" x14ac:dyDescent="0.3">
      <c r="A81" s="1" t="s">
        <v>138</v>
      </c>
      <c r="B81" s="1" t="s">
        <v>249</v>
      </c>
      <c r="C81" s="1" t="s">
        <v>246</v>
      </c>
      <c r="D81" s="1" t="s">
        <v>231</v>
      </c>
      <c r="E81" s="1" t="s">
        <v>262</v>
      </c>
    </row>
    <row r="82" spans="1:5" x14ac:dyDescent="0.3">
      <c r="A82" s="1" t="s">
        <v>138</v>
      </c>
      <c r="B82" s="1" t="s">
        <v>250</v>
      </c>
      <c r="C82" s="1" t="s">
        <v>248</v>
      </c>
      <c r="D82" s="1" t="s">
        <v>231</v>
      </c>
      <c r="E82" s="1" t="s">
        <v>262</v>
      </c>
    </row>
  </sheetData>
  <mergeCells count="1">
    <mergeCell ref="G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인천교통공사</dc:creator>
  <cp:lastModifiedBy>인천교통공사</cp:lastModifiedBy>
  <dcterms:created xsi:type="dcterms:W3CDTF">2026-06-30T14:17:58Z</dcterms:created>
  <dcterms:modified xsi:type="dcterms:W3CDTF">2026-07-27T21:45:43Z</dcterms:modified>
</cp:coreProperties>
</file>